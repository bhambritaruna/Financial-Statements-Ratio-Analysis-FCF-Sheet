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42\OneDrive\Desktop\"/>
    </mc:Choice>
  </mc:AlternateContent>
  <xr:revisionPtr revIDLastSave="0" documentId="13_ncr:1_{A5C33DC6-075F-4A46-8808-4ED7537C4726}" xr6:coauthVersionLast="47" xr6:coauthVersionMax="47" xr10:uidLastSave="{00000000-0000-0000-0000-000000000000}"/>
  <bookViews>
    <workbookView xWindow="-108" yWindow="-108" windowWidth="23256" windowHeight="12456" activeTab="2" xr2:uid="{82354A81-485D-407A-8C1E-C11FD4FCE480}"/>
  </bookViews>
  <sheets>
    <sheet name="Financial Statements" sheetId="2" r:id="rId1"/>
    <sheet name="Ratio Analysis " sheetId="1" r:id="rId2"/>
    <sheet name="FCF sheet" sheetId="3" r:id="rId3"/>
  </sheets>
  <definedNames>
    <definedName name="ExternalData_1" localSheetId="0" hidden="1">'Financial Statements'!$A$1:$W$162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4" i="3" l="1"/>
  <c r="T54" i="3"/>
  <c r="L68" i="3"/>
  <c r="M68" i="3" s="1"/>
  <c r="N120" i="3"/>
  <c r="L162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49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35" i="3"/>
  <c r="M135" i="3" s="1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20" i="3"/>
  <c r="M120" i="3" s="1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06" i="3"/>
  <c r="M106" i="3" s="1"/>
  <c r="L92" i="3"/>
  <c r="M92" i="3" s="1"/>
  <c r="L93" i="3"/>
  <c r="L94" i="3"/>
  <c r="L95" i="3"/>
  <c r="L96" i="3"/>
  <c r="L97" i="3"/>
  <c r="L98" i="3"/>
  <c r="L99" i="3"/>
  <c r="L83" i="3"/>
  <c r="L84" i="3"/>
  <c r="L85" i="3"/>
  <c r="L86" i="3"/>
  <c r="L87" i="3"/>
  <c r="L88" i="3"/>
  <c r="L89" i="3"/>
  <c r="L90" i="3"/>
  <c r="L91" i="3"/>
  <c r="L82" i="3"/>
  <c r="M82" i="3" s="1"/>
  <c r="L54" i="3"/>
  <c r="M54" i="3" s="1"/>
  <c r="L45" i="3"/>
  <c r="M45" i="3" s="1"/>
  <c r="N149" i="3"/>
  <c r="N135" i="3"/>
  <c r="N106" i="3"/>
  <c r="N92" i="3"/>
  <c r="N82" i="3"/>
  <c r="N68" i="3"/>
  <c r="N54" i="3"/>
  <c r="N45" i="3"/>
  <c r="N31" i="3"/>
  <c r="N16" i="3"/>
  <c r="N2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6" i="3"/>
  <c r="L47" i="3"/>
  <c r="L48" i="3"/>
  <c r="L49" i="3"/>
  <c r="L50" i="3"/>
  <c r="L51" i="3"/>
  <c r="L52" i="3"/>
  <c r="L53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100" i="3"/>
  <c r="L101" i="3"/>
  <c r="L102" i="3"/>
  <c r="L103" i="3"/>
  <c r="L104" i="3"/>
  <c r="L105" i="3"/>
  <c r="L31" i="3"/>
  <c r="M31" i="3" s="1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16" i="3"/>
  <c r="M16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2" i="3"/>
  <c r="M2" i="3" s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T16" i="3" s="1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T31" i="3" s="1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T45" i="3" s="1"/>
  <c r="R46" i="3"/>
  <c r="R47" i="3"/>
  <c r="R48" i="3"/>
  <c r="R49" i="3"/>
  <c r="R50" i="3"/>
  <c r="R51" i="3"/>
  <c r="R52" i="3"/>
  <c r="R53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T68" i="3" s="1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T82" i="3" s="1"/>
  <c r="R83" i="3"/>
  <c r="R84" i="3"/>
  <c r="R85" i="3"/>
  <c r="R86" i="3"/>
  <c r="R87" i="3"/>
  <c r="R88" i="3"/>
  <c r="R89" i="3"/>
  <c r="R90" i="3"/>
  <c r="R91" i="3"/>
  <c r="R92" i="3"/>
  <c r="T92" i="3" s="1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T106" i="3" s="1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T120" i="3" s="1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T135" i="3" s="1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T149" i="3" s="1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2" i="3"/>
  <c r="T2" i="3" s="1"/>
  <c r="M149" i="3"/>
  <c r="H3" i="3"/>
  <c r="I3" i="3" s="1"/>
  <c r="K3" i="3" s="1"/>
  <c r="H4" i="3"/>
  <c r="I4" i="3" s="1"/>
  <c r="K4" i="3" s="1"/>
  <c r="H5" i="3"/>
  <c r="I5" i="3" s="1"/>
  <c r="K5" i="3" s="1"/>
  <c r="H6" i="3"/>
  <c r="I6" i="3" s="1"/>
  <c r="K6" i="3" s="1"/>
  <c r="H7" i="3"/>
  <c r="I7" i="3" s="1"/>
  <c r="K7" i="3" s="1"/>
  <c r="H8" i="3"/>
  <c r="I8" i="3" s="1"/>
  <c r="K8" i="3" s="1"/>
  <c r="H9" i="3"/>
  <c r="I9" i="3" s="1"/>
  <c r="K9" i="3" s="1"/>
  <c r="M9" i="3" s="1"/>
  <c r="H10" i="3"/>
  <c r="I10" i="3" s="1"/>
  <c r="K10" i="3" s="1"/>
  <c r="H11" i="3"/>
  <c r="I11" i="3" s="1"/>
  <c r="K11" i="3" s="1"/>
  <c r="H12" i="3"/>
  <c r="I12" i="3" s="1"/>
  <c r="K12" i="3" s="1"/>
  <c r="H13" i="3"/>
  <c r="I13" i="3" s="1"/>
  <c r="K13" i="3" s="1"/>
  <c r="H14" i="3"/>
  <c r="I14" i="3" s="1"/>
  <c r="K14" i="3" s="1"/>
  <c r="H15" i="3"/>
  <c r="I15" i="3" s="1"/>
  <c r="K15" i="3" s="1"/>
  <c r="H16" i="3"/>
  <c r="I16" i="3" s="1"/>
  <c r="H17" i="3"/>
  <c r="I17" i="3" s="1"/>
  <c r="K17" i="3" s="1"/>
  <c r="H18" i="3"/>
  <c r="I18" i="3" s="1"/>
  <c r="K18" i="3" s="1"/>
  <c r="M18" i="3" s="1"/>
  <c r="H19" i="3"/>
  <c r="I19" i="3" s="1"/>
  <c r="K19" i="3" s="1"/>
  <c r="H20" i="3"/>
  <c r="I20" i="3" s="1"/>
  <c r="K20" i="3" s="1"/>
  <c r="H21" i="3"/>
  <c r="I21" i="3" s="1"/>
  <c r="K21" i="3" s="1"/>
  <c r="H22" i="3"/>
  <c r="I22" i="3" s="1"/>
  <c r="K22" i="3" s="1"/>
  <c r="H23" i="3"/>
  <c r="I23" i="3" s="1"/>
  <c r="K23" i="3" s="1"/>
  <c r="H24" i="3"/>
  <c r="I24" i="3" s="1"/>
  <c r="K24" i="3" s="1"/>
  <c r="H25" i="3"/>
  <c r="I25" i="3" s="1"/>
  <c r="K25" i="3" s="1"/>
  <c r="H26" i="3"/>
  <c r="I26" i="3" s="1"/>
  <c r="K26" i="3" s="1"/>
  <c r="M26" i="3" s="1"/>
  <c r="H27" i="3"/>
  <c r="I27" i="3" s="1"/>
  <c r="K27" i="3" s="1"/>
  <c r="H28" i="3"/>
  <c r="I28" i="3" s="1"/>
  <c r="K28" i="3" s="1"/>
  <c r="H29" i="3"/>
  <c r="I29" i="3" s="1"/>
  <c r="K29" i="3" s="1"/>
  <c r="H30" i="3"/>
  <c r="I30" i="3" s="1"/>
  <c r="H31" i="3"/>
  <c r="I31" i="3" s="1"/>
  <c r="H32" i="3"/>
  <c r="I32" i="3" s="1"/>
  <c r="K32" i="3" s="1"/>
  <c r="H33" i="3"/>
  <c r="I33" i="3" s="1"/>
  <c r="K33" i="3" s="1"/>
  <c r="M33" i="3" s="1"/>
  <c r="H34" i="3"/>
  <c r="I34" i="3" s="1"/>
  <c r="K34" i="3" s="1"/>
  <c r="H35" i="3"/>
  <c r="I35" i="3" s="1"/>
  <c r="K35" i="3" s="1"/>
  <c r="H36" i="3"/>
  <c r="I36" i="3" s="1"/>
  <c r="K36" i="3" s="1"/>
  <c r="H37" i="3"/>
  <c r="I37" i="3" s="1"/>
  <c r="K37" i="3" s="1"/>
  <c r="H38" i="3"/>
  <c r="I38" i="3" s="1"/>
  <c r="K38" i="3" s="1"/>
  <c r="H39" i="3"/>
  <c r="I39" i="3" s="1"/>
  <c r="K39" i="3" s="1"/>
  <c r="H40" i="3"/>
  <c r="I40" i="3" s="1"/>
  <c r="K40" i="3" s="1"/>
  <c r="H41" i="3"/>
  <c r="I41" i="3" s="1"/>
  <c r="K41" i="3" s="1"/>
  <c r="M41" i="3" s="1"/>
  <c r="H42" i="3"/>
  <c r="I42" i="3" s="1"/>
  <c r="K42" i="3" s="1"/>
  <c r="H43" i="3"/>
  <c r="I43" i="3" s="1"/>
  <c r="H44" i="3"/>
  <c r="I44" i="3" s="1"/>
  <c r="K44" i="3" s="1"/>
  <c r="H45" i="3"/>
  <c r="I45" i="3" s="1"/>
  <c r="H46" i="3"/>
  <c r="I46" i="3" s="1"/>
  <c r="K46" i="3" s="1"/>
  <c r="H47" i="3"/>
  <c r="I47" i="3" s="1"/>
  <c r="K47" i="3" s="1"/>
  <c r="H48" i="3"/>
  <c r="I48" i="3" s="1"/>
  <c r="K48" i="3" s="1"/>
  <c r="H49" i="3"/>
  <c r="I49" i="3" s="1"/>
  <c r="K49" i="3" s="1"/>
  <c r="H50" i="3"/>
  <c r="I50" i="3" s="1"/>
  <c r="K50" i="3" s="1"/>
  <c r="H51" i="3"/>
  <c r="I51" i="3" s="1"/>
  <c r="K51" i="3" s="1"/>
  <c r="H52" i="3"/>
  <c r="I52" i="3" s="1"/>
  <c r="K52" i="3" s="1"/>
  <c r="H53" i="3"/>
  <c r="I53" i="3" s="1"/>
  <c r="H54" i="3"/>
  <c r="I54" i="3" s="1"/>
  <c r="H55" i="3"/>
  <c r="I55" i="3" s="1"/>
  <c r="K55" i="3" s="1"/>
  <c r="H56" i="3"/>
  <c r="I56" i="3" s="1"/>
  <c r="K56" i="3" s="1"/>
  <c r="H57" i="3"/>
  <c r="I57" i="3" s="1"/>
  <c r="K57" i="3" s="1"/>
  <c r="H58" i="3"/>
  <c r="I58" i="3" s="1"/>
  <c r="K58" i="3" s="1"/>
  <c r="H59" i="3"/>
  <c r="I59" i="3" s="1"/>
  <c r="K59" i="3" s="1"/>
  <c r="H60" i="3"/>
  <c r="I60" i="3" s="1"/>
  <c r="K60" i="3" s="1"/>
  <c r="H61" i="3"/>
  <c r="I61" i="3" s="1"/>
  <c r="K61" i="3" s="1"/>
  <c r="H62" i="3"/>
  <c r="I62" i="3" s="1"/>
  <c r="K62" i="3" s="1"/>
  <c r="M62" i="3" s="1"/>
  <c r="H63" i="3"/>
  <c r="I63" i="3" s="1"/>
  <c r="K63" i="3" s="1"/>
  <c r="H64" i="3"/>
  <c r="I64" i="3" s="1"/>
  <c r="K64" i="3" s="1"/>
  <c r="H65" i="3"/>
  <c r="I65" i="3" s="1"/>
  <c r="K65" i="3" s="1"/>
  <c r="H66" i="3"/>
  <c r="I66" i="3" s="1"/>
  <c r="K66" i="3" s="1"/>
  <c r="H67" i="3"/>
  <c r="I67" i="3" s="1"/>
  <c r="K67" i="3" s="1"/>
  <c r="H68" i="3"/>
  <c r="I68" i="3" s="1"/>
  <c r="H69" i="3"/>
  <c r="I69" i="3" s="1"/>
  <c r="K69" i="3" s="1"/>
  <c r="H70" i="3"/>
  <c r="I70" i="3" s="1"/>
  <c r="K70" i="3" s="1"/>
  <c r="H71" i="3"/>
  <c r="I71" i="3" s="1"/>
  <c r="K71" i="3" s="1"/>
  <c r="H72" i="3"/>
  <c r="I72" i="3" s="1"/>
  <c r="K72" i="3" s="1"/>
  <c r="H73" i="3"/>
  <c r="I73" i="3" s="1"/>
  <c r="K73" i="3" s="1"/>
  <c r="M73" i="3" s="1"/>
  <c r="H74" i="3"/>
  <c r="I74" i="3" s="1"/>
  <c r="K74" i="3" s="1"/>
  <c r="M74" i="3" s="1"/>
  <c r="H75" i="3"/>
  <c r="I75" i="3" s="1"/>
  <c r="K75" i="3" s="1"/>
  <c r="H76" i="3"/>
  <c r="I76" i="3" s="1"/>
  <c r="K76" i="3" s="1"/>
  <c r="H77" i="3"/>
  <c r="I77" i="3" s="1"/>
  <c r="K77" i="3" s="1"/>
  <c r="H78" i="3"/>
  <c r="I78" i="3" s="1"/>
  <c r="K78" i="3" s="1"/>
  <c r="H79" i="3"/>
  <c r="I79" i="3" s="1"/>
  <c r="K79" i="3" s="1"/>
  <c r="H80" i="3"/>
  <c r="I80" i="3" s="1"/>
  <c r="H81" i="3"/>
  <c r="I81" i="3" s="1"/>
  <c r="K81" i="3" s="1"/>
  <c r="M81" i="3" s="1"/>
  <c r="H82" i="3"/>
  <c r="I82" i="3" s="1"/>
  <c r="H83" i="3"/>
  <c r="I83" i="3" s="1"/>
  <c r="K83" i="3" s="1"/>
  <c r="H84" i="3"/>
  <c r="I84" i="3" s="1"/>
  <c r="K84" i="3" s="1"/>
  <c r="H85" i="3"/>
  <c r="I85" i="3" s="1"/>
  <c r="K85" i="3" s="1"/>
  <c r="H86" i="3"/>
  <c r="I86" i="3" s="1"/>
  <c r="K86" i="3" s="1"/>
  <c r="H87" i="3"/>
  <c r="I87" i="3" s="1"/>
  <c r="K87" i="3" s="1"/>
  <c r="H88" i="3"/>
  <c r="I88" i="3" s="1"/>
  <c r="K88" i="3" s="1"/>
  <c r="H89" i="3"/>
  <c r="I89" i="3" s="1"/>
  <c r="K89" i="3" s="1"/>
  <c r="M89" i="3" s="1"/>
  <c r="H90" i="3"/>
  <c r="I90" i="3" s="1"/>
  <c r="K90" i="3" s="1"/>
  <c r="M90" i="3" s="1"/>
  <c r="H91" i="3"/>
  <c r="I91" i="3" s="1"/>
  <c r="H92" i="3"/>
  <c r="I92" i="3" s="1"/>
  <c r="H93" i="3"/>
  <c r="I93" i="3" s="1"/>
  <c r="K93" i="3" s="1"/>
  <c r="H94" i="3"/>
  <c r="I94" i="3" s="1"/>
  <c r="K94" i="3" s="1"/>
  <c r="H95" i="3"/>
  <c r="I95" i="3" s="1"/>
  <c r="K95" i="3" s="1"/>
  <c r="H96" i="3"/>
  <c r="I96" i="3" s="1"/>
  <c r="K96" i="3" s="1"/>
  <c r="H97" i="3"/>
  <c r="I97" i="3" s="1"/>
  <c r="K97" i="3" s="1"/>
  <c r="H98" i="3"/>
  <c r="I98" i="3" s="1"/>
  <c r="K98" i="3" s="1"/>
  <c r="H99" i="3"/>
  <c r="I99" i="3" s="1"/>
  <c r="K99" i="3" s="1"/>
  <c r="H100" i="3"/>
  <c r="I100" i="3" s="1"/>
  <c r="K100" i="3" s="1"/>
  <c r="H101" i="3"/>
  <c r="I101" i="3" s="1"/>
  <c r="K101" i="3" s="1"/>
  <c r="H102" i="3"/>
  <c r="I102" i="3" s="1"/>
  <c r="K102" i="3" s="1"/>
  <c r="H103" i="3"/>
  <c r="I103" i="3" s="1"/>
  <c r="K103" i="3" s="1"/>
  <c r="H104" i="3"/>
  <c r="I104" i="3" s="1"/>
  <c r="H105" i="3"/>
  <c r="I105" i="3" s="1"/>
  <c r="K105" i="3" s="1"/>
  <c r="M105" i="3" s="1"/>
  <c r="H106" i="3"/>
  <c r="I106" i="3" s="1"/>
  <c r="H107" i="3"/>
  <c r="I107" i="3" s="1"/>
  <c r="K107" i="3" s="1"/>
  <c r="H108" i="3"/>
  <c r="I108" i="3" s="1"/>
  <c r="K108" i="3" s="1"/>
  <c r="H109" i="3"/>
  <c r="I109" i="3" s="1"/>
  <c r="K109" i="3" s="1"/>
  <c r="H110" i="3"/>
  <c r="I110" i="3" s="1"/>
  <c r="K110" i="3" s="1"/>
  <c r="H111" i="3"/>
  <c r="I111" i="3" s="1"/>
  <c r="K111" i="3" s="1"/>
  <c r="M111" i="3" s="1"/>
  <c r="H112" i="3"/>
  <c r="I112" i="3" s="1"/>
  <c r="K112" i="3" s="1"/>
  <c r="M112" i="3" s="1"/>
  <c r="H113" i="3"/>
  <c r="I113" i="3" s="1"/>
  <c r="K113" i="3" s="1"/>
  <c r="M113" i="3" s="1"/>
  <c r="H114" i="3"/>
  <c r="I114" i="3" s="1"/>
  <c r="K114" i="3" s="1"/>
  <c r="H115" i="3"/>
  <c r="I115" i="3" s="1"/>
  <c r="K115" i="3" s="1"/>
  <c r="H116" i="3"/>
  <c r="I116" i="3" s="1"/>
  <c r="K116" i="3" s="1"/>
  <c r="H117" i="3"/>
  <c r="I117" i="3" s="1"/>
  <c r="K117" i="3" s="1"/>
  <c r="H118" i="3"/>
  <c r="I118" i="3" s="1"/>
  <c r="H119" i="3"/>
  <c r="I119" i="3" s="1"/>
  <c r="K119" i="3" s="1"/>
  <c r="M119" i="3" s="1"/>
  <c r="H120" i="3"/>
  <c r="I120" i="3" s="1"/>
  <c r="H121" i="3"/>
  <c r="I121" i="3" s="1"/>
  <c r="K121" i="3" s="1"/>
  <c r="M121" i="3" s="1"/>
  <c r="H122" i="3"/>
  <c r="I122" i="3" s="1"/>
  <c r="K122" i="3" s="1"/>
  <c r="M122" i="3" s="1"/>
  <c r="H123" i="3"/>
  <c r="I123" i="3" s="1"/>
  <c r="K123" i="3" s="1"/>
  <c r="H124" i="3"/>
  <c r="I124" i="3" s="1"/>
  <c r="K124" i="3" s="1"/>
  <c r="H125" i="3"/>
  <c r="I125" i="3" s="1"/>
  <c r="K125" i="3" s="1"/>
  <c r="H126" i="3"/>
  <c r="I126" i="3" s="1"/>
  <c r="K126" i="3" s="1"/>
  <c r="H127" i="3"/>
  <c r="I127" i="3" s="1"/>
  <c r="K127" i="3" s="1"/>
  <c r="H128" i="3"/>
  <c r="I128" i="3" s="1"/>
  <c r="K128" i="3" s="1"/>
  <c r="H129" i="3"/>
  <c r="I129" i="3" s="1"/>
  <c r="K129" i="3" s="1"/>
  <c r="M129" i="3" s="1"/>
  <c r="H130" i="3"/>
  <c r="I130" i="3" s="1"/>
  <c r="K130" i="3" s="1"/>
  <c r="M130" i="3" s="1"/>
  <c r="H131" i="3"/>
  <c r="I131" i="3" s="1"/>
  <c r="K131" i="3" s="1"/>
  <c r="H132" i="3"/>
  <c r="I132" i="3" s="1"/>
  <c r="K132" i="3" s="1"/>
  <c r="H133" i="3"/>
  <c r="I133" i="3" s="1"/>
  <c r="K133" i="3" s="1"/>
  <c r="H134" i="3"/>
  <c r="I134" i="3" s="1"/>
  <c r="K134" i="3" s="1"/>
  <c r="H135" i="3"/>
  <c r="I135" i="3" s="1"/>
  <c r="H136" i="3"/>
  <c r="I136" i="3" s="1"/>
  <c r="K136" i="3" s="1"/>
  <c r="H137" i="3"/>
  <c r="I137" i="3" s="1"/>
  <c r="K137" i="3" s="1"/>
  <c r="H138" i="3"/>
  <c r="I138" i="3" s="1"/>
  <c r="K138" i="3" s="1"/>
  <c r="H139" i="3"/>
  <c r="I139" i="3" s="1"/>
  <c r="K139" i="3" s="1"/>
  <c r="H140" i="3"/>
  <c r="I140" i="3" s="1"/>
  <c r="K140" i="3" s="1"/>
  <c r="H141" i="3"/>
  <c r="I141" i="3" s="1"/>
  <c r="K141" i="3" s="1"/>
  <c r="H142" i="3"/>
  <c r="I142" i="3" s="1"/>
  <c r="K142" i="3" s="1"/>
  <c r="H143" i="3"/>
  <c r="I143" i="3" s="1"/>
  <c r="K143" i="3" s="1"/>
  <c r="H144" i="3"/>
  <c r="I144" i="3" s="1"/>
  <c r="K144" i="3" s="1"/>
  <c r="H145" i="3"/>
  <c r="I145" i="3" s="1"/>
  <c r="K145" i="3" s="1"/>
  <c r="H146" i="3"/>
  <c r="I146" i="3" s="1"/>
  <c r="K146" i="3" s="1"/>
  <c r="H147" i="3"/>
  <c r="I147" i="3" s="1"/>
  <c r="K147" i="3" s="1"/>
  <c r="H148" i="3"/>
  <c r="I148" i="3" s="1"/>
  <c r="K148" i="3" s="1"/>
  <c r="H149" i="3"/>
  <c r="I149" i="3" s="1"/>
  <c r="H150" i="3"/>
  <c r="I150" i="3" s="1"/>
  <c r="K150" i="3" s="1"/>
  <c r="H151" i="3"/>
  <c r="I151" i="3" s="1"/>
  <c r="K151" i="3" s="1"/>
  <c r="H152" i="3"/>
  <c r="I152" i="3" s="1"/>
  <c r="K152" i="3" s="1"/>
  <c r="H153" i="3"/>
  <c r="I153" i="3" s="1"/>
  <c r="K153" i="3" s="1"/>
  <c r="H154" i="3"/>
  <c r="I154" i="3" s="1"/>
  <c r="K154" i="3" s="1"/>
  <c r="H155" i="3"/>
  <c r="I155" i="3" s="1"/>
  <c r="K155" i="3" s="1"/>
  <c r="H156" i="3"/>
  <c r="I156" i="3" s="1"/>
  <c r="K156" i="3" s="1"/>
  <c r="H157" i="3"/>
  <c r="I157" i="3" s="1"/>
  <c r="K157" i="3" s="1"/>
  <c r="H158" i="3"/>
  <c r="I158" i="3" s="1"/>
  <c r="K158" i="3" s="1"/>
  <c r="H159" i="3"/>
  <c r="I159" i="3" s="1"/>
  <c r="K159" i="3" s="1"/>
  <c r="H160" i="3"/>
  <c r="I160" i="3" s="1"/>
  <c r="K160" i="3" s="1"/>
  <c r="H161" i="3"/>
  <c r="I161" i="3" s="1"/>
  <c r="K161" i="3" s="1"/>
  <c r="H162" i="3"/>
  <c r="I162" i="3" s="1"/>
  <c r="K162" i="3" s="1"/>
  <c r="H2" i="3"/>
  <c r="I2" i="3" s="1"/>
  <c r="H3" i="1"/>
  <c r="G3" i="1" s="1"/>
  <c r="H4" i="1"/>
  <c r="G4" i="1" s="1"/>
  <c r="H5" i="1"/>
  <c r="G5" i="1" s="1"/>
  <c r="H6" i="1"/>
  <c r="G6" i="1" s="1"/>
  <c r="H7" i="1"/>
  <c r="G7" i="1" s="1"/>
  <c r="H8" i="1"/>
  <c r="G8" i="1" s="1"/>
  <c r="H9" i="1"/>
  <c r="G9" i="1" s="1"/>
  <c r="H10" i="1"/>
  <c r="G10" i="1" s="1"/>
  <c r="H11" i="1"/>
  <c r="G11" i="1" s="1"/>
  <c r="H12" i="1"/>
  <c r="G12" i="1" s="1"/>
  <c r="H13" i="1"/>
  <c r="G13" i="1" s="1"/>
  <c r="H14" i="1"/>
  <c r="G14" i="1" s="1"/>
  <c r="H15" i="1"/>
  <c r="G15" i="1" s="1"/>
  <c r="H16" i="1"/>
  <c r="G16" i="1" s="1"/>
  <c r="H17" i="1"/>
  <c r="G17" i="1" s="1"/>
  <c r="H18" i="1"/>
  <c r="G18" i="1" s="1"/>
  <c r="H19" i="1"/>
  <c r="G19" i="1" s="1"/>
  <c r="H20" i="1"/>
  <c r="G20" i="1" s="1"/>
  <c r="H21" i="1"/>
  <c r="G21" i="1" s="1"/>
  <c r="H22" i="1"/>
  <c r="G22" i="1" s="1"/>
  <c r="H23" i="1"/>
  <c r="G23" i="1" s="1"/>
  <c r="H24" i="1"/>
  <c r="G24" i="1" s="1"/>
  <c r="H25" i="1"/>
  <c r="G25" i="1" s="1"/>
  <c r="H26" i="1"/>
  <c r="G26" i="1" s="1"/>
  <c r="H27" i="1"/>
  <c r="G27" i="1" s="1"/>
  <c r="H28" i="1"/>
  <c r="G28" i="1" s="1"/>
  <c r="H29" i="1"/>
  <c r="G29" i="1" s="1"/>
  <c r="H30" i="1"/>
  <c r="G30" i="1" s="1"/>
  <c r="H31" i="1"/>
  <c r="G31" i="1" s="1"/>
  <c r="H32" i="1"/>
  <c r="G32" i="1" s="1"/>
  <c r="H33" i="1"/>
  <c r="G33" i="1" s="1"/>
  <c r="H34" i="1"/>
  <c r="G34" i="1" s="1"/>
  <c r="H35" i="1"/>
  <c r="G35" i="1" s="1"/>
  <c r="H36" i="1"/>
  <c r="G36" i="1" s="1"/>
  <c r="H37" i="1"/>
  <c r="G37" i="1" s="1"/>
  <c r="H38" i="1"/>
  <c r="G38" i="1" s="1"/>
  <c r="H39" i="1"/>
  <c r="G39" i="1" s="1"/>
  <c r="H40" i="1"/>
  <c r="G40" i="1" s="1"/>
  <c r="H41" i="1"/>
  <c r="G41" i="1" s="1"/>
  <c r="H42" i="1"/>
  <c r="G42" i="1" s="1"/>
  <c r="H43" i="1"/>
  <c r="G43" i="1" s="1"/>
  <c r="H44" i="1"/>
  <c r="G44" i="1" s="1"/>
  <c r="H45" i="1"/>
  <c r="G45" i="1" s="1"/>
  <c r="H46" i="1"/>
  <c r="G46" i="1" s="1"/>
  <c r="H47" i="1"/>
  <c r="G47" i="1" s="1"/>
  <c r="H48" i="1"/>
  <c r="G48" i="1" s="1"/>
  <c r="H49" i="1"/>
  <c r="G49" i="1" s="1"/>
  <c r="H50" i="1"/>
  <c r="G50" i="1" s="1"/>
  <c r="H51" i="1"/>
  <c r="G51" i="1" s="1"/>
  <c r="H52" i="1"/>
  <c r="G52" i="1" s="1"/>
  <c r="H53" i="1"/>
  <c r="G53" i="1" s="1"/>
  <c r="H54" i="1"/>
  <c r="G54" i="1" s="1"/>
  <c r="H55" i="1"/>
  <c r="G55" i="1" s="1"/>
  <c r="H56" i="1"/>
  <c r="G56" i="1" s="1"/>
  <c r="H57" i="1"/>
  <c r="G57" i="1" s="1"/>
  <c r="H58" i="1"/>
  <c r="G58" i="1" s="1"/>
  <c r="H59" i="1"/>
  <c r="G59" i="1" s="1"/>
  <c r="H60" i="1"/>
  <c r="G60" i="1" s="1"/>
  <c r="H61" i="1"/>
  <c r="G61" i="1" s="1"/>
  <c r="H62" i="1"/>
  <c r="G62" i="1" s="1"/>
  <c r="H63" i="1"/>
  <c r="G63" i="1" s="1"/>
  <c r="H64" i="1"/>
  <c r="G64" i="1" s="1"/>
  <c r="H65" i="1"/>
  <c r="G65" i="1" s="1"/>
  <c r="H66" i="1"/>
  <c r="G66" i="1" s="1"/>
  <c r="H67" i="1"/>
  <c r="G67" i="1" s="1"/>
  <c r="H68" i="1"/>
  <c r="G68" i="1" s="1"/>
  <c r="H69" i="1"/>
  <c r="G69" i="1" s="1"/>
  <c r="H70" i="1"/>
  <c r="G70" i="1" s="1"/>
  <c r="H71" i="1"/>
  <c r="G71" i="1" s="1"/>
  <c r="H72" i="1"/>
  <c r="G72" i="1" s="1"/>
  <c r="H73" i="1"/>
  <c r="G73" i="1" s="1"/>
  <c r="H74" i="1"/>
  <c r="G74" i="1" s="1"/>
  <c r="H75" i="1"/>
  <c r="G75" i="1" s="1"/>
  <c r="H76" i="1"/>
  <c r="G76" i="1" s="1"/>
  <c r="H77" i="1"/>
  <c r="G77" i="1" s="1"/>
  <c r="H78" i="1"/>
  <c r="G78" i="1" s="1"/>
  <c r="H79" i="1"/>
  <c r="G79" i="1" s="1"/>
  <c r="H80" i="1"/>
  <c r="G80" i="1" s="1"/>
  <c r="H81" i="1"/>
  <c r="G81" i="1" s="1"/>
  <c r="H82" i="1"/>
  <c r="G82" i="1" s="1"/>
  <c r="H83" i="1"/>
  <c r="G83" i="1" s="1"/>
  <c r="H84" i="1"/>
  <c r="G84" i="1" s="1"/>
  <c r="H85" i="1"/>
  <c r="G85" i="1" s="1"/>
  <c r="H86" i="1"/>
  <c r="G86" i="1" s="1"/>
  <c r="H87" i="1"/>
  <c r="G87" i="1" s="1"/>
  <c r="H88" i="1"/>
  <c r="G88" i="1" s="1"/>
  <c r="H89" i="1"/>
  <c r="G89" i="1" s="1"/>
  <c r="H90" i="1"/>
  <c r="G90" i="1" s="1"/>
  <c r="H91" i="1"/>
  <c r="G91" i="1" s="1"/>
  <c r="H92" i="1"/>
  <c r="G92" i="1" s="1"/>
  <c r="H93" i="1"/>
  <c r="G93" i="1" s="1"/>
  <c r="H94" i="1"/>
  <c r="G94" i="1" s="1"/>
  <c r="H95" i="1"/>
  <c r="G95" i="1" s="1"/>
  <c r="H96" i="1"/>
  <c r="G96" i="1" s="1"/>
  <c r="H97" i="1"/>
  <c r="G97" i="1" s="1"/>
  <c r="H98" i="1"/>
  <c r="G98" i="1" s="1"/>
  <c r="H99" i="1"/>
  <c r="G99" i="1" s="1"/>
  <c r="H100" i="1"/>
  <c r="G100" i="1" s="1"/>
  <c r="H101" i="1"/>
  <c r="G101" i="1" s="1"/>
  <c r="H102" i="1"/>
  <c r="G102" i="1" s="1"/>
  <c r="H103" i="1"/>
  <c r="G103" i="1" s="1"/>
  <c r="H104" i="1"/>
  <c r="G104" i="1" s="1"/>
  <c r="H105" i="1"/>
  <c r="G105" i="1" s="1"/>
  <c r="H106" i="1"/>
  <c r="G106" i="1" s="1"/>
  <c r="H107" i="1"/>
  <c r="G107" i="1" s="1"/>
  <c r="H108" i="1"/>
  <c r="G108" i="1" s="1"/>
  <c r="H109" i="1"/>
  <c r="G109" i="1" s="1"/>
  <c r="H110" i="1"/>
  <c r="G110" i="1" s="1"/>
  <c r="H111" i="1"/>
  <c r="G111" i="1" s="1"/>
  <c r="H112" i="1"/>
  <c r="G112" i="1" s="1"/>
  <c r="H113" i="1"/>
  <c r="G113" i="1" s="1"/>
  <c r="H114" i="1"/>
  <c r="G114" i="1" s="1"/>
  <c r="H115" i="1"/>
  <c r="G115" i="1" s="1"/>
  <c r="H116" i="1"/>
  <c r="G116" i="1" s="1"/>
  <c r="H117" i="1"/>
  <c r="G117" i="1" s="1"/>
  <c r="H118" i="1"/>
  <c r="G118" i="1" s="1"/>
  <c r="H119" i="1"/>
  <c r="G119" i="1" s="1"/>
  <c r="H120" i="1"/>
  <c r="G120" i="1" s="1"/>
  <c r="H121" i="1"/>
  <c r="G121" i="1" s="1"/>
  <c r="H122" i="1"/>
  <c r="G122" i="1" s="1"/>
  <c r="H123" i="1"/>
  <c r="G123" i="1" s="1"/>
  <c r="H124" i="1"/>
  <c r="G124" i="1" s="1"/>
  <c r="H125" i="1"/>
  <c r="G125" i="1" s="1"/>
  <c r="H126" i="1"/>
  <c r="G126" i="1" s="1"/>
  <c r="H127" i="1"/>
  <c r="G127" i="1" s="1"/>
  <c r="H128" i="1"/>
  <c r="G128" i="1" s="1"/>
  <c r="H129" i="1"/>
  <c r="G129" i="1" s="1"/>
  <c r="H130" i="1"/>
  <c r="G130" i="1" s="1"/>
  <c r="H131" i="1"/>
  <c r="G131" i="1" s="1"/>
  <c r="H132" i="1"/>
  <c r="G132" i="1" s="1"/>
  <c r="H133" i="1"/>
  <c r="G133" i="1" s="1"/>
  <c r="H134" i="1"/>
  <c r="G134" i="1" s="1"/>
  <c r="H135" i="1"/>
  <c r="G135" i="1" s="1"/>
  <c r="H136" i="1"/>
  <c r="G136" i="1" s="1"/>
  <c r="H137" i="1"/>
  <c r="G137" i="1" s="1"/>
  <c r="H138" i="1"/>
  <c r="G138" i="1" s="1"/>
  <c r="H139" i="1"/>
  <c r="G139" i="1" s="1"/>
  <c r="H140" i="1"/>
  <c r="G140" i="1" s="1"/>
  <c r="H141" i="1"/>
  <c r="G141" i="1" s="1"/>
  <c r="H142" i="1"/>
  <c r="G142" i="1" s="1"/>
  <c r="H143" i="1"/>
  <c r="G143" i="1" s="1"/>
  <c r="H144" i="1"/>
  <c r="G144" i="1" s="1"/>
  <c r="H145" i="1"/>
  <c r="G145" i="1" s="1"/>
  <c r="H146" i="1"/>
  <c r="G146" i="1" s="1"/>
  <c r="H147" i="1"/>
  <c r="G147" i="1" s="1"/>
  <c r="H148" i="1"/>
  <c r="G148" i="1" s="1"/>
  <c r="H149" i="1"/>
  <c r="G149" i="1" s="1"/>
  <c r="H150" i="1"/>
  <c r="G150" i="1" s="1"/>
  <c r="H151" i="1"/>
  <c r="G151" i="1" s="1"/>
  <c r="H152" i="1"/>
  <c r="G152" i="1" s="1"/>
  <c r="H153" i="1"/>
  <c r="G153" i="1" s="1"/>
  <c r="H154" i="1"/>
  <c r="G154" i="1" s="1"/>
  <c r="H155" i="1"/>
  <c r="G155" i="1" s="1"/>
  <c r="H156" i="1"/>
  <c r="G156" i="1" s="1"/>
  <c r="H157" i="1"/>
  <c r="G157" i="1" s="1"/>
  <c r="H158" i="1"/>
  <c r="G158" i="1" s="1"/>
  <c r="H159" i="1"/>
  <c r="G159" i="1" s="1"/>
  <c r="H160" i="1"/>
  <c r="G160" i="1" s="1"/>
  <c r="H161" i="1"/>
  <c r="G161" i="1" s="1"/>
  <c r="H162" i="1"/>
  <c r="G162" i="1" s="1"/>
  <c r="H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2" i="1"/>
  <c r="M46" i="3" l="1"/>
  <c r="M61" i="3"/>
  <c r="M29" i="3"/>
  <c r="M132" i="3"/>
  <c r="M124" i="3"/>
  <c r="M155" i="3"/>
  <c r="M147" i="3"/>
  <c r="M139" i="3"/>
  <c r="M131" i="3"/>
  <c r="M123" i="3"/>
  <c r="M99" i="3"/>
  <c r="M83" i="3"/>
  <c r="M51" i="3"/>
  <c r="M42" i="3"/>
  <c r="M34" i="3"/>
  <c r="M21" i="3"/>
  <c r="M60" i="3"/>
  <c r="M35" i="3"/>
  <c r="M157" i="3"/>
  <c r="M150" i="3"/>
  <c r="M156" i="3"/>
  <c r="M158" i="3"/>
  <c r="M109" i="3"/>
  <c r="M117" i="3"/>
  <c r="M114" i="3"/>
  <c r="M97" i="3"/>
  <c r="M98" i="3"/>
  <c r="M146" i="3"/>
  <c r="M144" i="3"/>
  <c r="M136" i="3"/>
  <c r="M138" i="3"/>
  <c r="M137" i="3"/>
  <c r="M143" i="3"/>
  <c r="M145" i="3"/>
  <c r="M39" i="3"/>
  <c r="M27" i="3"/>
  <c r="M19" i="3"/>
  <c r="M13" i="3"/>
  <c r="M5" i="3"/>
  <c r="M10" i="3"/>
  <c r="M50" i="3"/>
  <c r="M40" i="3"/>
  <c r="M160" i="3"/>
  <c r="M152" i="3"/>
  <c r="M64" i="3"/>
  <c r="M56" i="3"/>
  <c r="M159" i="3"/>
  <c r="M151" i="3"/>
  <c r="M23" i="3"/>
  <c r="M57" i="3"/>
  <c r="M126" i="3"/>
  <c r="M102" i="3"/>
  <c r="M94" i="3"/>
  <c r="M86" i="3"/>
  <c r="M78" i="3"/>
  <c r="M70" i="3"/>
  <c r="M22" i="3"/>
  <c r="M133" i="3"/>
  <c r="M125" i="3"/>
  <c r="M101" i="3"/>
  <c r="M93" i="3"/>
  <c r="M85" i="3"/>
  <c r="M77" i="3"/>
  <c r="M69" i="3"/>
  <c r="M65" i="3"/>
  <c r="M148" i="3"/>
  <c r="M140" i="3"/>
  <c r="M44" i="3"/>
  <c r="M36" i="3"/>
  <c r="M25" i="3"/>
  <c r="M17" i="3"/>
  <c r="M154" i="3"/>
  <c r="M128" i="3"/>
  <c r="M96" i="3"/>
  <c r="M88" i="3"/>
  <c r="M162" i="3"/>
  <c r="M141" i="3"/>
  <c r="M142" i="3"/>
  <c r="M134" i="3"/>
  <c r="M116" i="3"/>
  <c r="M108" i="3"/>
  <c r="M72" i="3"/>
  <c r="M48" i="3"/>
  <c r="M15" i="3"/>
  <c r="M7" i="3"/>
  <c r="M38" i="3"/>
  <c r="M37" i="3"/>
  <c r="M28" i="3"/>
  <c r="M20" i="3"/>
  <c r="M12" i="3"/>
  <c r="M4" i="3"/>
  <c r="M75" i="3"/>
  <c r="M67" i="3"/>
  <c r="M59" i="3"/>
  <c r="M66" i="3"/>
  <c r="M100" i="3"/>
  <c r="M84" i="3"/>
  <c r="M76" i="3"/>
  <c r="M52" i="3"/>
  <c r="M115" i="3"/>
  <c r="M107" i="3"/>
  <c r="M11" i="3"/>
  <c r="M3" i="3"/>
  <c r="M161" i="3"/>
  <c r="M153" i="3"/>
  <c r="M49" i="3"/>
  <c r="M24" i="3"/>
  <c r="M8" i="3"/>
  <c r="M58" i="3"/>
  <c r="M127" i="3"/>
  <c r="M103" i="3"/>
  <c r="M95" i="3"/>
  <c r="M87" i="3"/>
  <c r="M79" i="3"/>
  <c r="M71" i="3"/>
  <c r="M63" i="3"/>
  <c r="M55" i="3"/>
  <c r="K53" i="3"/>
  <c r="M53" i="3" s="1"/>
  <c r="J53" i="3"/>
  <c r="K104" i="3"/>
  <c r="M104" i="3" s="1"/>
  <c r="J105" i="3"/>
  <c r="J81" i="3"/>
  <c r="K80" i="3"/>
  <c r="M80" i="3" s="1"/>
  <c r="J44" i="3"/>
  <c r="M47" i="3"/>
  <c r="M110" i="3"/>
  <c r="J67" i="3"/>
  <c r="J30" i="3"/>
  <c r="K30" i="3"/>
  <c r="M30" i="3" s="1"/>
  <c r="M14" i="3"/>
  <c r="M6" i="3"/>
  <c r="M32" i="3"/>
  <c r="J91" i="3"/>
  <c r="K91" i="3"/>
  <c r="M91" i="3" s="1"/>
  <c r="K118" i="3"/>
  <c r="M118" i="3" s="1"/>
  <c r="J119" i="3"/>
  <c r="K43" i="3"/>
  <c r="M43" i="3" s="1"/>
  <c r="O2" i="3"/>
  <c r="O3" i="3"/>
  <c r="P2" i="3" l="1"/>
  <c r="S2" i="3" s="1"/>
  <c r="U2" i="3" s="1"/>
  <c r="O4" i="3"/>
  <c r="O6" i="3"/>
  <c r="O5" i="3"/>
  <c r="O119" i="3"/>
  <c r="O7" i="3" l="1"/>
  <c r="O8" i="3" l="1"/>
  <c r="O9" i="3" l="1"/>
  <c r="O10" i="3" l="1"/>
  <c r="O11" i="3" l="1"/>
  <c r="O12" i="3" l="1"/>
  <c r="O13" i="3" l="1"/>
  <c r="O14" i="3" l="1"/>
  <c r="O15" i="3" l="1"/>
  <c r="P15" i="3" l="1"/>
  <c r="O16" i="3"/>
  <c r="P16" i="3" s="1"/>
  <c r="S16" i="3" s="1"/>
  <c r="U16" i="3" s="1"/>
  <c r="O17" i="3" l="1"/>
  <c r="O18" i="3" l="1"/>
  <c r="O19" i="3" l="1"/>
  <c r="O20" i="3" l="1"/>
  <c r="O21" i="3" l="1"/>
  <c r="O22" i="3" l="1"/>
  <c r="O23" i="3" l="1"/>
  <c r="O24" i="3" l="1"/>
  <c r="O25" i="3" l="1"/>
  <c r="O26" i="3" l="1"/>
  <c r="P14" i="3" l="1"/>
  <c r="O27" i="3"/>
  <c r="O28" i="3" l="1"/>
  <c r="O29" i="3" l="1"/>
  <c r="O30" i="3" l="1"/>
  <c r="P30" i="3" l="1"/>
  <c r="O31" i="3"/>
  <c r="P31" i="3" s="1"/>
  <c r="S31" i="3" s="1"/>
  <c r="U31" i="3" s="1"/>
  <c r="O32" i="3" l="1"/>
  <c r="O33" i="3" l="1"/>
  <c r="O34" i="3" l="1"/>
  <c r="O35" i="3" l="1"/>
  <c r="O36" i="3" l="1"/>
  <c r="O37" i="3" l="1"/>
  <c r="O38" i="3" l="1"/>
  <c r="O39" i="3" l="1"/>
  <c r="O40" i="3" l="1"/>
  <c r="O41" i="3" l="1"/>
  <c r="O42" i="3" l="1"/>
  <c r="O43" i="3" l="1"/>
  <c r="O44" i="3" l="1"/>
  <c r="P44" i="3" l="1"/>
  <c r="O45" i="3"/>
  <c r="P45" i="3" s="1"/>
  <c r="S45" i="3" s="1"/>
  <c r="U45" i="3" s="1"/>
  <c r="O46" i="3" l="1"/>
  <c r="O47" i="3" l="1"/>
  <c r="O48" i="3" l="1"/>
  <c r="O49" i="3" l="1"/>
  <c r="O50" i="3" l="1"/>
  <c r="O51" i="3" l="1"/>
  <c r="O52" i="3" l="1"/>
  <c r="O53" i="3" l="1"/>
  <c r="P53" i="3" l="1"/>
  <c r="O54" i="3"/>
  <c r="P54" i="3" s="1"/>
  <c r="S54" i="3" s="1"/>
  <c r="U54" i="3" s="1"/>
  <c r="O55" i="3" l="1"/>
  <c r="O56" i="3" l="1"/>
  <c r="O57" i="3" l="1"/>
  <c r="O58" i="3" l="1"/>
  <c r="O59" i="3" l="1"/>
  <c r="O60" i="3" l="1"/>
  <c r="O61" i="3" l="1"/>
  <c r="O62" i="3" l="1"/>
  <c r="O63" i="3" l="1"/>
  <c r="O64" i="3" l="1"/>
  <c r="O65" i="3" l="1"/>
  <c r="O66" i="3" l="1"/>
  <c r="O67" i="3" l="1"/>
  <c r="P67" i="3" l="1"/>
  <c r="O68" i="3"/>
  <c r="P68" i="3" s="1"/>
  <c r="S68" i="3" s="1"/>
  <c r="U68" i="3" s="1"/>
  <c r="O69" i="3" l="1"/>
  <c r="O70" i="3" l="1"/>
  <c r="O71" i="3" l="1"/>
  <c r="O72" i="3" l="1"/>
  <c r="O73" i="3" l="1"/>
  <c r="O74" i="3" l="1"/>
  <c r="O75" i="3" l="1"/>
  <c r="O76" i="3" l="1"/>
  <c r="O77" i="3" l="1"/>
  <c r="O78" i="3" l="1"/>
  <c r="O79" i="3" l="1"/>
  <c r="O80" i="3" l="1"/>
  <c r="O81" i="3" l="1"/>
  <c r="O82" i="3" l="1"/>
  <c r="P82" i="3" s="1"/>
  <c r="S82" i="3" s="1"/>
  <c r="U82" i="3" s="1"/>
  <c r="P81" i="3"/>
  <c r="O83" i="3" l="1"/>
  <c r="O84" i="3" l="1"/>
  <c r="O85" i="3" l="1"/>
  <c r="O86" i="3" l="1"/>
  <c r="O87" i="3" l="1"/>
  <c r="O88" i="3" l="1"/>
  <c r="O89" i="3" l="1"/>
  <c r="O90" i="3" l="1"/>
  <c r="O91" i="3" l="1"/>
  <c r="P91" i="3" l="1"/>
  <c r="O92" i="3"/>
  <c r="P92" i="3" s="1"/>
  <c r="S92" i="3" s="1"/>
  <c r="U92" i="3" s="1"/>
  <c r="O93" i="3" l="1"/>
  <c r="O94" i="3" l="1"/>
  <c r="O95" i="3" l="1"/>
  <c r="O96" i="3" l="1"/>
  <c r="O97" i="3" l="1"/>
  <c r="O98" i="3" l="1"/>
  <c r="O99" i="3" l="1"/>
  <c r="O100" i="3" l="1"/>
  <c r="O101" i="3" l="1"/>
  <c r="O102" i="3" l="1"/>
  <c r="O103" i="3" l="1"/>
  <c r="O104" i="3" l="1"/>
  <c r="O105" i="3" l="1"/>
  <c r="O106" i="3" l="1"/>
  <c r="P106" i="3" s="1"/>
  <c r="S106" i="3" s="1"/>
  <c r="U106" i="3" s="1"/>
  <c r="P105" i="3"/>
  <c r="O107" i="3" l="1"/>
  <c r="O108" i="3" l="1"/>
  <c r="O109" i="3" l="1"/>
  <c r="O110" i="3" l="1"/>
  <c r="O111" i="3" l="1"/>
  <c r="O112" i="3" l="1"/>
  <c r="O113" i="3" l="1"/>
  <c r="O114" i="3" l="1"/>
  <c r="O115" i="3" l="1"/>
  <c r="O116" i="3" l="1"/>
  <c r="O117" i="3" l="1"/>
  <c r="O118" i="3" l="1"/>
  <c r="P119" i="3" l="1"/>
  <c r="O120" i="3" l="1"/>
  <c r="P120" i="3" s="1"/>
  <c r="S120" i="3" s="1"/>
  <c r="U120" i="3" s="1"/>
  <c r="O121" i="3" l="1"/>
  <c r="O122" i="3" l="1"/>
  <c r="O123" i="3" l="1"/>
  <c r="O124" i="3" l="1"/>
  <c r="O125" i="3" l="1"/>
  <c r="O126" i="3" l="1"/>
  <c r="O127" i="3" l="1"/>
  <c r="O128" i="3" l="1"/>
  <c r="O129" i="3" l="1"/>
  <c r="O130" i="3" l="1"/>
  <c r="O131" i="3" l="1"/>
  <c r="O132" i="3" l="1"/>
  <c r="O133" i="3" l="1"/>
  <c r="O134" i="3" l="1"/>
  <c r="O135" i="3" l="1"/>
  <c r="P135" i="3" s="1"/>
  <c r="S135" i="3" s="1"/>
  <c r="U135" i="3" s="1"/>
  <c r="O136" i="3" l="1"/>
  <c r="O137" i="3" l="1"/>
  <c r="O138" i="3" l="1"/>
  <c r="O139" i="3" l="1"/>
  <c r="O140" i="3" l="1"/>
  <c r="O141" i="3" l="1"/>
  <c r="O142" i="3" l="1"/>
  <c r="O143" i="3" l="1"/>
  <c r="O144" i="3" l="1"/>
  <c r="O145" i="3" l="1"/>
  <c r="O146" i="3" l="1"/>
  <c r="O147" i="3" l="1"/>
  <c r="O148" i="3" l="1"/>
  <c r="O149" i="3" l="1"/>
  <c r="P149" i="3" s="1"/>
  <c r="S149" i="3" s="1"/>
  <c r="U149" i="3" s="1"/>
  <c r="O150" i="3" l="1"/>
  <c r="O151" i="3" l="1"/>
  <c r="O152" i="3" l="1"/>
  <c r="O153" i="3" l="1"/>
  <c r="O154" i="3" l="1"/>
  <c r="O155" i="3" l="1"/>
  <c r="O156" i="3" l="1"/>
  <c r="O157" i="3" l="1"/>
  <c r="O158" i="3" l="1"/>
  <c r="O159" i="3" l="1"/>
  <c r="O160" i="3" l="1"/>
  <c r="O161" i="3" l="1"/>
  <c r="O16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060841-9DAB-46EB-AE61-9066B3B33C11}" keepAlive="1" name="Query - Financial Statements" description="Connection to the 'Financial Statements' query in the workbook." type="5" refreshedVersion="8" background="1" saveData="1">
    <dbPr connection="Provider=Microsoft.Mashup.OleDb.1;Data Source=$Workbook$;Location=&quot;Financial Statements&quot;;Extended Properties=&quot;&quot;" command="SELECT * FROM [Financial Statements]"/>
  </connection>
</connections>
</file>

<file path=xl/sharedStrings.xml><?xml version="1.0" encoding="utf-8"?>
<sst xmlns="http://schemas.openxmlformats.org/spreadsheetml/2006/main" count="706" uniqueCount="76">
  <si>
    <t>Year</t>
  </si>
  <si>
    <t xml:space="preserve">Company </t>
  </si>
  <si>
    <t>Category</t>
  </si>
  <si>
    <t>Market Cap(in B USD)</t>
  </si>
  <si>
    <t>Revenue</t>
  </si>
  <si>
    <t>Gross Profit</t>
  </si>
  <si>
    <t>Net Income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</si>
  <si>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</si>
  <si>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</si>
  <si>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</si>
  <si>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</si>
  <si>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</si>
  <si>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</si>
  <si>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</si>
  <si>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</si>
  <si>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</si>
  <si>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</si>
  <si>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</si>
  <si>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</si>
  <si>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</si>
  <si>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</si>
  <si>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</si>
  <si>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</si>
  <si>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</si>
  <si>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</si>
  <si>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</si>
  <si>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</si>
  <si>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</si>
  <si>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</si>
  <si>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</si>
  <si>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</si>
  <si>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</si>
  <si>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</si>
  <si>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</si>
  <si>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</si>
  <si>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</si>
  <si>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</si>
  <si>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</si>
  <si>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</si>
  <si>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</si>
  <si>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</si>
  <si>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</si>
  <si>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</si>
  <si>
    <t xml:space="preserve">Company Name </t>
  </si>
  <si>
    <t xml:space="preserve">Disc. Factor </t>
  </si>
  <si>
    <t>FCF Growth%</t>
  </si>
  <si>
    <t/>
  </si>
  <si>
    <t xml:space="preserve">Earning per share </t>
  </si>
  <si>
    <t>Market Cap (B USD )</t>
  </si>
  <si>
    <t>MarketPrice per Share (USD)</t>
  </si>
  <si>
    <t>Upside/Downside%</t>
  </si>
  <si>
    <t>Net Income (M USD)</t>
  </si>
  <si>
    <t>Number of shares (Million shares)</t>
  </si>
  <si>
    <t>Earning per Share (USD per share)</t>
  </si>
  <si>
    <t>Face Value per Share (USD/share)</t>
  </si>
  <si>
    <t>Cash flow from Operating (M USD)</t>
  </si>
  <si>
    <t>Cash flow from Investing (M USD)</t>
  </si>
  <si>
    <t>Est Cap Ex (M USD)</t>
  </si>
  <si>
    <t>Proj FCF (M USD)</t>
  </si>
  <si>
    <t>PV of FCF (M USD)</t>
  </si>
  <si>
    <t>TV (M USD)</t>
  </si>
  <si>
    <t>PV of TV (M USD)</t>
  </si>
  <si>
    <t>EV (B USD)</t>
  </si>
  <si>
    <t>FCF (M USD )</t>
  </si>
  <si>
    <t>Revenue (M USD)</t>
  </si>
  <si>
    <t>Operating profit /EBITDA ( M  USD)</t>
  </si>
  <si>
    <t>Net Profit (M USD)</t>
  </si>
  <si>
    <t>Shareholder Equity (M USD)</t>
  </si>
  <si>
    <t>Total Assets (M USD)</t>
  </si>
  <si>
    <t>Total Debt (M USD)</t>
  </si>
  <si>
    <t>Operating Margin (%)</t>
  </si>
  <si>
    <t>Net profit margin(%)</t>
  </si>
  <si>
    <t>ROE (%)</t>
  </si>
  <si>
    <t>ROA (%)</t>
  </si>
  <si>
    <t>Debt/Equity Ratio (times)</t>
  </si>
  <si>
    <t>Current Ratio (times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</si>
</sst>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9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2" borderId="1" xfId="0" applyFill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70B38B-4E49-430E-8837-D857412084ED}" autoFormatId="16" applyNumberFormats="0" applyBorderFormats="0" applyFontFormats="0" applyPatternFormats="0" applyAlignmentFormats="0" applyWidthHeightFormats="0">
  <queryTableRefresh nextId="24">
    <queryTableFields count="23">
      <queryTableField id="1" name="Year" tableColumnId="1"/>
      <queryTableField id="2" name="Company " tableColumnId="2"/>
      <queryTableField id="3" name="Category" tableColumnId="3"/>
      <queryTableField id="4" name="Market Cap(in B USD)" tableColumnId="4"/>
      <queryTableField id="5" name="Revenue" tableColumnId="5"/>
      <queryTableField id="6" name="Gross Profit" tableColumnId="6"/>
      <queryTableField id="7" name="Net Income" tableColumnId="7"/>
      <queryTableField id="8" name="Earning Per Share" tableColumnId="8"/>
      <queryTableField id="9" name="EBITDA" tableColumnId="9"/>
      <queryTableField id="10" name="Share Holder Equity" tableColumnId="10"/>
      <queryTableField id="11" name="Cash Flow from Operating" tableColumnId="11"/>
      <queryTableField id="12" name="Cash Flow from Investing" tableColumnId="12"/>
      <queryTableField id="13" name="Cash Flow from Financial Activities" tableColumnId="13"/>
      <queryTableField id="14" name="Current Ratio" tableColumnId="14"/>
      <queryTableField id="15" name="Debt/Equity Ratio" tableColumnId="15"/>
      <queryTableField id="16" name="ROE" tableColumnId="16"/>
      <queryTableField id="17" name="ROA" tableColumnId="17"/>
      <queryTableField id="18" name="ROI" tableColumnId="18"/>
      <queryTableField id="19" name="Net Profit Margin" tableColumnId="19"/>
      <queryTableField id="20" name="Free Cash Flow per Share" tableColumnId="20"/>
      <queryTableField id="21" name="Return on Tangible Equity" tableColumnId="21"/>
      <queryTableField id="22" name="Number of Employees" tableColumnId="22"/>
      <queryTableField id="23" name="Inflation Rate(in US)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6AD8A-071D-476F-A1B7-41FB0A4D6ABE}" name="Financial_Statements" displayName="Financial_Statements" ref="A1:W162" tableType="queryTable" totalsRowShown="0">
  <autoFilter ref="A1:W162" xr:uid="{1DC6AD8A-071D-476F-A1B7-41FB0A4D6ABE}"/>
  <tableColumns count="23">
    <tableColumn id="1" xr3:uid="{3A18ED97-7C1F-427E-8047-2776017DB6CF}" uniqueName="1" name="Year" queryTableFieldId="1"/>
    <tableColumn id="2" xr3:uid="{14E785D4-6A02-4A5E-998A-4DDC54E1E54B}" uniqueName="2" name="Company " queryTableFieldId="2" dataDxfId="1"/>
    <tableColumn id="3" xr3:uid="{850A696A-36E5-4187-9775-67CBC71BCA35}" uniqueName="3" name="Category" queryTableFieldId="3" dataDxfId="0"/>
    <tableColumn id="4" xr3:uid="{D8F9551A-032A-40B1-9E9C-25BB66DAE4A7}" uniqueName="4" name="Market Cap(in B USD)" queryTableFieldId="4"/>
    <tableColumn id="5" xr3:uid="{27FBFFC4-A79A-4346-8E95-754B1399945B}" uniqueName="5" name="Revenue" queryTableFieldId="5"/>
    <tableColumn id="6" xr3:uid="{79949F32-5E2D-4206-8229-E6FADD005F41}" uniqueName="6" name="Gross Profit" queryTableFieldId="6"/>
    <tableColumn id="7" xr3:uid="{8A59CCFF-2963-4582-BE02-ABA24938BB8F}" uniqueName="7" name="Net Income" queryTableFieldId="7"/>
    <tableColumn id="8" xr3:uid="{690ED059-B6AA-4144-84E2-F9441F4FBD2F}" uniqueName="8" name="Earning per share " queryTableFieldId="8"/>
    <tableColumn id="9" xr3:uid="{D13B2B9F-BBE0-45F2-A1C8-F5EC901A9B48}" uniqueName="9" name="EBITDA" queryTableFieldId="9"/>
    <tableColumn id="10" xr3:uid="{9233ED45-14C6-45C3-8201-A65B63BB1E30}" uniqueName="10" name="Share Holder Equity" queryTableFieldId="10"/>
    <tableColumn id="11" xr3:uid="{B7DEC042-0B95-4EDD-A8D9-DBF321C7EA22}" uniqueName="11" name="Cash Flow from Operating" queryTableFieldId="11"/>
    <tableColumn id="12" xr3:uid="{E2CE3DE4-96E6-4FE3-B21C-A885C8A45964}" uniqueName="12" name="Cash Flow from Investing" queryTableFieldId="12"/>
    <tableColumn id="13" xr3:uid="{1776D304-BA2D-40B4-A439-24289CD2D20B}" uniqueName="13" name="Cash Flow from Financial Activities" queryTableFieldId="13"/>
    <tableColumn id="14" xr3:uid="{348AB052-26DD-4DF6-843E-1D83C24E25D9}" uniqueName="14" name="Current Ratio" queryTableFieldId="14"/>
    <tableColumn id="15" xr3:uid="{E231BB28-C042-4C05-9FDC-3200CB94933B}" uniqueName="15" name="Debt/Equity Ratio" queryTableFieldId="15"/>
    <tableColumn id="16" xr3:uid="{968A0E13-6F5F-4937-BFE3-22D5DDBDA2F0}" uniqueName="16" name="ROE" queryTableFieldId="16"/>
    <tableColumn id="17" xr3:uid="{904D7B12-983B-4D7B-ADDD-CB258F2A6E76}" uniqueName="17" name="ROA" queryTableFieldId="17"/>
    <tableColumn id="18" xr3:uid="{97466EAF-EE68-4684-8B56-B4426529DBC8}" uniqueName="18" name="ROI" queryTableFieldId="18"/>
    <tableColumn id="19" xr3:uid="{ABC1C291-B55D-4877-A375-2002EDB40265}" uniqueName="19" name="Net Profit Margin" queryTableFieldId="19"/>
    <tableColumn id="20" xr3:uid="{E43EEF9C-9816-4DAD-B17E-5D1D3FBA63C1}" uniqueName="20" name="Free Cash Flow per Share" queryTableFieldId="20"/>
    <tableColumn id="21" xr3:uid="{41E73DCE-6225-4F9F-B9D1-657D493C36BF}" uniqueName="21" name="Return on Tangible Equity" queryTableFieldId="21"/>
    <tableColumn id="22" xr3:uid="{2122F297-84B8-4D70-A51A-29BE7C758A10}" uniqueName="22" name="Number of Employees" queryTableFieldId="22"/>
    <tableColumn id="23" xr3:uid="{8030D72F-76EF-4320-AB5F-4F7D23A89308}" uniqueName="23" name="Inflation Rate(in US)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248C-9826-4CFE-896F-8D768245381E}">
  <dimension ref="A1:W162"/>
  <sheetViews>
    <sheetView workbookViewId="0">
      <selection activeCell="U8" sqref="U8"/>
    </sheetView>
  </sheetViews>
  <sheetFormatPr defaultRowHeight="14.4" x14ac:dyDescent="0.3"/>
  <cols>
    <col min="1" max="1" width="6.88671875" bestFit="1" customWidth="1"/>
    <col min="2" max="2" width="11.77734375" bestFit="1" customWidth="1"/>
    <col min="3" max="3" width="12.88671875" bestFit="1" customWidth="1"/>
    <col min="4" max="4" width="21.6640625" bestFit="1" customWidth="1"/>
    <col min="5" max="5" width="10.5546875" bestFit="1" customWidth="1"/>
    <col min="6" max="6" width="12.88671875" bestFit="1" customWidth="1"/>
    <col min="7" max="7" width="13" bestFit="1" customWidth="1"/>
    <col min="8" max="8" width="18.77734375" customWidth="1"/>
    <col min="9" max="9" width="9.33203125" bestFit="1" customWidth="1"/>
    <col min="10" max="10" width="20" bestFit="1" customWidth="1"/>
    <col min="11" max="11" width="25.21875" bestFit="1" customWidth="1"/>
    <col min="12" max="12" width="24.5546875" bestFit="1" customWidth="1"/>
    <col min="13" max="13" width="32.44140625" bestFit="1" customWidth="1"/>
    <col min="14" max="14" width="14.33203125" bestFit="1" customWidth="1"/>
    <col min="15" max="15" width="18.33203125" bestFit="1" customWidth="1"/>
    <col min="16" max="16" width="9.6640625" bestFit="1" customWidth="1"/>
    <col min="17" max="17" width="8.6640625" bestFit="1" customWidth="1"/>
    <col min="18" max="18" width="9.6640625" bestFit="1" customWidth="1"/>
    <col min="19" max="19" width="17.88671875" bestFit="1" customWidth="1"/>
    <col min="20" max="20" width="24.33203125" bestFit="1" customWidth="1"/>
    <col min="21" max="21" width="25.21875" bestFit="1" customWidth="1"/>
    <col min="22" max="22" width="22.109375" bestFit="1" customWidth="1"/>
    <col min="23" max="23" width="20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2022</v>
      </c>
      <c r="B2" t="s">
        <v>22</v>
      </c>
      <c r="C2" t="s">
        <v>23</v>
      </c>
      <c r="D2">
        <v>2066.94</v>
      </c>
      <c r="E2">
        <v>394328</v>
      </c>
      <c r="F2">
        <v>170782</v>
      </c>
      <c r="G2">
        <v>99803</v>
      </c>
      <c r="H2">
        <v>6.11</v>
      </c>
      <c r="I2">
        <v>130541</v>
      </c>
      <c r="J2">
        <v>50672</v>
      </c>
      <c r="K2">
        <v>122151</v>
      </c>
      <c r="L2">
        <v>-22354</v>
      </c>
      <c r="M2">
        <v>-110749</v>
      </c>
      <c r="N2">
        <v>0.87939999999999996</v>
      </c>
      <c r="O2">
        <v>2.3694999999999999</v>
      </c>
      <c r="P2">
        <v>196.9589</v>
      </c>
      <c r="Q2">
        <v>28.292400000000001</v>
      </c>
      <c r="R2">
        <v>66.699399999999997</v>
      </c>
      <c r="S2">
        <v>25.3096</v>
      </c>
      <c r="T2">
        <v>1.3146</v>
      </c>
      <c r="U2">
        <v>196.9589</v>
      </c>
      <c r="V2">
        <v>164000</v>
      </c>
      <c r="W2">
        <v>8.0028000000000006</v>
      </c>
    </row>
    <row r="3" spans="1:23" x14ac:dyDescent="0.3">
      <c r="A3">
        <v>2021</v>
      </c>
      <c r="B3" t="s">
        <v>22</v>
      </c>
      <c r="C3" t="s">
        <v>23</v>
      </c>
      <c r="D3">
        <v>2913.28</v>
      </c>
      <c r="E3">
        <v>365817</v>
      </c>
      <c r="F3">
        <v>152836</v>
      </c>
      <c r="G3">
        <v>94680</v>
      </c>
      <c r="H3">
        <v>5.61</v>
      </c>
      <c r="I3">
        <v>120233</v>
      </c>
      <c r="J3">
        <v>63090</v>
      </c>
      <c r="K3">
        <v>104038</v>
      </c>
      <c r="L3">
        <v>-14545</v>
      </c>
      <c r="M3">
        <v>-93353</v>
      </c>
      <c r="N3">
        <v>1.0746</v>
      </c>
      <c r="O3">
        <v>1.9767999999999999</v>
      </c>
      <c r="P3">
        <v>150.07130000000001</v>
      </c>
      <c r="Q3">
        <v>26.9742</v>
      </c>
      <c r="R3">
        <v>54.983899999999998</v>
      </c>
      <c r="S3">
        <v>25.881799999999998</v>
      </c>
      <c r="T3">
        <v>1.3261000000000001</v>
      </c>
      <c r="U3">
        <v>150.07130000000001</v>
      </c>
      <c r="V3">
        <v>154000</v>
      </c>
      <c r="W3">
        <v>4.6978999999999997</v>
      </c>
    </row>
    <row r="4" spans="1:23" x14ac:dyDescent="0.3">
      <c r="A4">
        <v>2020</v>
      </c>
      <c r="B4" t="s">
        <v>22</v>
      </c>
      <c r="C4" t="s">
        <v>23</v>
      </c>
      <c r="D4">
        <v>2255.9699999999998</v>
      </c>
      <c r="E4">
        <v>274515</v>
      </c>
      <c r="F4">
        <v>104956</v>
      </c>
      <c r="G4">
        <v>57411</v>
      </c>
      <c r="H4">
        <v>3.28</v>
      </c>
      <c r="I4">
        <v>77344</v>
      </c>
      <c r="J4">
        <v>65339</v>
      </c>
      <c r="K4">
        <v>80674</v>
      </c>
      <c r="L4">
        <v>-4289</v>
      </c>
      <c r="M4">
        <v>-86820</v>
      </c>
      <c r="N4">
        <v>1.3635999999999999</v>
      </c>
      <c r="O4">
        <v>1.7208000000000001</v>
      </c>
      <c r="P4">
        <v>87.866399999999999</v>
      </c>
      <c r="Q4">
        <v>17.7256</v>
      </c>
      <c r="R4">
        <v>35.005400000000002</v>
      </c>
      <c r="S4">
        <v>20.913599999999999</v>
      </c>
      <c r="T4">
        <v>1.0183</v>
      </c>
      <c r="U4">
        <v>87.866399999999999</v>
      </c>
      <c r="V4">
        <v>147000</v>
      </c>
      <c r="W4">
        <v>1.2336</v>
      </c>
    </row>
    <row r="5" spans="1:23" x14ac:dyDescent="0.3">
      <c r="A5">
        <v>2019</v>
      </c>
      <c r="B5" t="s">
        <v>22</v>
      </c>
      <c r="C5" t="s">
        <v>23</v>
      </c>
      <c r="D5">
        <v>1304.76</v>
      </c>
      <c r="E5">
        <v>260174</v>
      </c>
      <c r="F5">
        <v>98392</v>
      </c>
      <c r="G5">
        <v>55256</v>
      </c>
      <c r="H5">
        <v>2.97</v>
      </c>
      <c r="I5">
        <v>76477</v>
      </c>
      <c r="J5">
        <v>90488</v>
      </c>
      <c r="K5">
        <v>69391</v>
      </c>
      <c r="L5">
        <v>45896</v>
      </c>
      <c r="M5">
        <v>-90976</v>
      </c>
      <c r="N5">
        <v>1.5401</v>
      </c>
      <c r="O5">
        <v>1.194</v>
      </c>
      <c r="P5">
        <v>61.064500000000002</v>
      </c>
      <c r="Q5">
        <v>16.323</v>
      </c>
      <c r="R5">
        <v>30.311299999999999</v>
      </c>
      <c r="S5">
        <v>21.238099999999999</v>
      </c>
      <c r="T5">
        <v>-3.8800000000000001E-2</v>
      </c>
      <c r="U5">
        <v>61.064500000000002</v>
      </c>
      <c r="V5">
        <v>137000</v>
      </c>
      <c r="W5">
        <v>1.8122</v>
      </c>
    </row>
    <row r="6" spans="1:23" x14ac:dyDescent="0.3">
      <c r="A6">
        <v>2018</v>
      </c>
      <c r="B6" t="s">
        <v>22</v>
      </c>
      <c r="C6" t="s">
        <v>23</v>
      </c>
      <c r="D6">
        <v>748.54</v>
      </c>
      <c r="E6">
        <v>265595</v>
      </c>
      <c r="F6">
        <v>101839</v>
      </c>
      <c r="G6">
        <v>59531</v>
      </c>
      <c r="H6">
        <v>2.98</v>
      </c>
      <c r="I6">
        <v>81801</v>
      </c>
      <c r="J6">
        <v>107147</v>
      </c>
      <c r="K6">
        <v>77434</v>
      </c>
      <c r="L6">
        <v>16066</v>
      </c>
      <c r="M6">
        <v>-87876</v>
      </c>
      <c r="N6">
        <v>1.1329</v>
      </c>
      <c r="O6">
        <v>1.0685</v>
      </c>
      <c r="P6">
        <v>55.560099999999998</v>
      </c>
      <c r="Q6">
        <v>16.2775</v>
      </c>
      <c r="R6">
        <v>29.634799999999998</v>
      </c>
      <c r="S6">
        <v>22.414200000000001</v>
      </c>
      <c r="T6">
        <v>0.74139999999999995</v>
      </c>
      <c r="U6">
        <v>55.560099999999998</v>
      </c>
      <c r="V6">
        <v>132000</v>
      </c>
      <c r="W6">
        <v>2.4426000000000001</v>
      </c>
    </row>
    <row r="7" spans="1:23" x14ac:dyDescent="0.3">
      <c r="A7">
        <v>2017</v>
      </c>
      <c r="B7" t="s">
        <v>22</v>
      </c>
      <c r="C7" t="s">
        <v>23</v>
      </c>
      <c r="D7">
        <v>868.87</v>
      </c>
      <c r="E7">
        <v>229234</v>
      </c>
      <c r="F7">
        <v>88186</v>
      </c>
      <c r="G7">
        <v>48351</v>
      </c>
      <c r="H7">
        <v>2.3025000000000002</v>
      </c>
      <c r="I7">
        <v>71501</v>
      </c>
      <c r="J7">
        <v>134047</v>
      </c>
      <c r="K7">
        <v>64225</v>
      </c>
      <c r="L7">
        <v>-46446</v>
      </c>
      <c r="M7">
        <v>-17974</v>
      </c>
      <c r="N7">
        <v>1.2761</v>
      </c>
      <c r="O7">
        <v>0.86299999999999999</v>
      </c>
      <c r="P7">
        <v>36.0702</v>
      </c>
      <c r="Q7">
        <v>12.8826</v>
      </c>
      <c r="R7">
        <v>20.908200000000001</v>
      </c>
      <c r="S7">
        <v>21.092400000000001</v>
      </c>
      <c r="T7">
        <v>3.3000000000000002E-2</v>
      </c>
      <c r="U7">
        <v>36.0702</v>
      </c>
      <c r="V7">
        <v>123000</v>
      </c>
      <c r="W7">
        <v>2.1301000000000001</v>
      </c>
    </row>
    <row r="8" spans="1:23" x14ac:dyDescent="0.3">
      <c r="A8">
        <v>2016</v>
      </c>
      <c r="B8" t="s">
        <v>22</v>
      </c>
      <c r="C8" t="s">
        <v>23</v>
      </c>
      <c r="D8">
        <v>617.59</v>
      </c>
      <c r="E8">
        <v>215639</v>
      </c>
      <c r="F8">
        <v>84263</v>
      </c>
      <c r="G8">
        <v>45687</v>
      </c>
      <c r="H8">
        <v>2.0775000000000001</v>
      </c>
      <c r="I8">
        <v>70529</v>
      </c>
      <c r="J8">
        <v>128249</v>
      </c>
      <c r="K8">
        <v>66231</v>
      </c>
      <c r="L8">
        <v>-45977</v>
      </c>
      <c r="M8">
        <v>-20890</v>
      </c>
      <c r="N8">
        <v>1.3527</v>
      </c>
      <c r="O8">
        <v>0.67859999999999998</v>
      </c>
      <c r="P8">
        <v>35.623699999999999</v>
      </c>
      <c r="Q8">
        <v>14.202400000000001</v>
      </c>
      <c r="R8">
        <v>22.4312</v>
      </c>
      <c r="S8">
        <v>21.186800000000002</v>
      </c>
      <c r="T8">
        <v>-0.59009999999999996</v>
      </c>
      <c r="U8">
        <v>38.190600000000003</v>
      </c>
      <c r="V8">
        <v>116000</v>
      </c>
      <c r="W8">
        <v>1.2616000000000001</v>
      </c>
    </row>
    <row r="9" spans="1:23" x14ac:dyDescent="0.3">
      <c r="A9">
        <v>2015</v>
      </c>
      <c r="B9" t="s">
        <v>22</v>
      </c>
      <c r="C9" t="s">
        <v>23</v>
      </c>
      <c r="D9">
        <v>586.86</v>
      </c>
      <c r="E9">
        <v>233715</v>
      </c>
      <c r="F9">
        <v>93626</v>
      </c>
      <c r="G9">
        <v>53394</v>
      </c>
      <c r="H9">
        <v>2.3050000000000002</v>
      </c>
      <c r="I9">
        <v>82487</v>
      </c>
      <c r="J9">
        <v>119355</v>
      </c>
      <c r="K9">
        <v>81266</v>
      </c>
      <c r="L9">
        <v>-56274</v>
      </c>
      <c r="M9">
        <v>-17716</v>
      </c>
      <c r="N9">
        <v>1.1088</v>
      </c>
      <c r="O9">
        <v>0.53900000000000003</v>
      </c>
      <c r="P9">
        <v>44.735500000000002</v>
      </c>
      <c r="Q9">
        <v>18.389900000000001</v>
      </c>
      <c r="R9">
        <v>30.920100000000001</v>
      </c>
      <c r="S9">
        <v>22.845800000000001</v>
      </c>
      <c r="T9">
        <v>0.97430000000000005</v>
      </c>
      <c r="U9">
        <v>48.387799999999999</v>
      </c>
      <c r="V9">
        <v>110000</v>
      </c>
      <c r="W9">
        <v>0.1186</v>
      </c>
    </row>
    <row r="10" spans="1:23" x14ac:dyDescent="0.3">
      <c r="A10">
        <v>2014</v>
      </c>
      <c r="B10" t="s">
        <v>22</v>
      </c>
      <c r="C10" t="s">
        <v>23</v>
      </c>
      <c r="D10">
        <v>647.36</v>
      </c>
      <c r="E10">
        <v>182795</v>
      </c>
      <c r="F10">
        <v>70537</v>
      </c>
      <c r="G10">
        <v>39510</v>
      </c>
      <c r="H10">
        <v>1.6125</v>
      </c>
      <c r="I10">
        <v>60449</v>
      </c>
      <c r="J10">
        <v>111547</v>
      </c>
      <c r="K10">
        <v>59713</v>
      </c>
      <c r="L10">
        <v>-22579</v>
      </c>
      <c r="M10">
        <v>-37549</v>
      </c>
      <c r="N10">
        <v>1.0801000000000001</v>
      </c>
      <c r="O10">
        <v>0.31640000000000001</v>
      </c>
      <c r="P10">
        <v>35.420099999999998</v>
      </c>
      <c r="Q10">
        <v>17.042000000000002</v>
      </c>
      <c r="R10">
        <v>28.1142</v>
      </c>
      <c r="S10">
        <v>21.6144</v>
      </c>
      <c r="T10">
        <v>0.30320000000000003</v>
      </c>
      <c r="U10">
        <v>38.438000000000002</v>
      </c>
      <c r="V10">
        <v>97000</v>
      </c>
      <c r="W10">
        <v>1.6222000000000001</v>
      </c>
    </row>
    <row r="11" spans="1:23" x14ac:dyDescent="0.3">
      <c r="A11">
        <v>2013</v>
      </c>
      <c r="B11" t="s">
        <v>22</v>
      </c>
      <c r="C11" t="s">
        <v>23</v>
      </c>
      <c r="D11">
        <v>504.79</v>
      </c>
      <c r="E11">
        <v>170910</v>
      </c>
      <c r="F11">
        <v>64304</v>
      </c>
      <c r="G11">
        <v>37037</v>
      </c>
      <c r="H11">
        <v>1.42</v>
      </c>
      <c r="I11">
        <v>55756</v>
      </c>
      <c r="J11">
        <v>123549</v>
      </c>
      <c r="K11">
        <v>53666</v>
      </c>
      <c r="L11">
        <v>-33774</v>
      </c>
      <c r="M11">
        <v>-16379</v>
      </c>
      <c r="N11">
        <v>1.6786000000000001</v>
      </c>
      <c r="O11">
        <v>0.13730000000000001</v>
      </c>
      <c r="P11">
        <v>29.977599999999999</v>
      </c>
      <c r="Q11">
        <v>17.892299999999999</v>
      </c>
      <c r="R11">
        <v>26.359200000000001</v>
      </c>
      <c r="S11">
        <v>21.670500000000001</v>
      </c>
      <c r="T11">
        <v>0.1363</v>
      </c>
      <c r="U11">
        <v>31.442499999999999</v>
      </c>
      <c r="V11">
        <v>84400</v>
      </c>
      <c r="W11">
        <v>1.4648000000000001</v>
      </c>
    </row>
    <row r="12" spans="1:23" x14ac:dyDescent="0.3">
      <c r="A12">
        <v>2012</v>
      </c>
      <c r="B12" t="s">
        <v>22</v>
      </c>
      <c r="C12" t="s">
        <v>23</v>
      </c>
      <c r="D12">
        <v>500.61</v>
      </c>
      <c r="E12">
        <v>156508</v>
      </c>
      <c r="F12">
        <v>68662</v>
      </c>
      <c r="G12">
        <v>41733</v>
      </c>
      <c r="H12">
        <v>1.5774999999999999</v>
      </c>
      <c r="I12">
        <v>58518</v>
      </c>
      <c r="J12">
        <v>118210</v>
      </c>
      <c r="K12">
        <v>50856</v>
      </c>
      <c r="L12">
        <v>-48227</v>
      </c>
      <c r="M12">
        <v>-1698</v>
      </c>
      <c r="N12">
        <v>1.4958</v>
      </c>
      <c r="O12">
        <v>0</v>
      </c>
      <c r="P12">
        <v>35.304099999999998</v>
      </c>
      <c r="Q12">
        <v>23.703299999999999</v>
      </c>
      <c r="R12">
        <v>35.304099999999998</v>
      </c>
      <c r="S12">
        <v>26.665099999999999</v>
      </c>
      <c r="T12">
        <v>0.33939999999999998</v>
      </c>
      <c r="U12">
        <v>36.980600000000003</v>
      </c>
      <c r="V12">
        <v>76100</v>
      </c>
      <c r="W12">
        <v>2.0693000000000001</v>
      </c>
    </row>
    <row r="13" spans="1:23" x14ac:dyDescent="0.3">
      <c r="A13">
        <v>2011</v>
      </c>
      <c r="B13" t="s">
        <v>22</v>
      </c>
      <c r="C13" t="s">
        <v>23</v>
      </c>
      <c r="D13">
        <v>376.4</v>
      </c>
      <c r="E13">
        <v>108249</v>
      </c>
      <c r="F13">
        <v>43818</v>
      </c>
      <c r="G13">
        <v>25922</v>
      </c>
      <c r="H13">
        <v>0.98860000000000003</v>
      </c>
      <c r="I13">
        <v>35604</v>
      </c>
      <c r="J13">
        <v>76615</v>
      </c>
      <c r="K13">
        <v>37529</v>
      </c>
      <c r="L13">
        <v>-40419</v>
      </c>
      <c r="M13">
        <v>1444</v>
      </c>
      <c r="N13">
        <v>1.6084000000000001</v>
      </c>
      <c r="O13">
        <v>0</v>
      </c>
      <c r="P13">
        <v>33.834099999999999</v>
      </c>
      <c r="Q13">
        <v>22.275300000000001</v>
      </c>
      <c r="R13">
        <v>33.834099999999999</v>
      </c>
      <c r="S13">
        <v>23.9466</v>
      </c>
      <c r="T13">
        <v>0.62780000000000002</v>
      </c>
      <c r="U13">
        <v>35.911499999999997</v>
      </c>
      <c r="V13">
        <v>63300</v>
      </c>
      <c r="W13">
        <v>3.1568000000000001</v>
      </c>
    </row>
    <row r="14" spans="1:23" x14ac:dyDescent="0.3">
      <c r="A14">
        <v>2010</v>
      </c>
      <c r="B14" t="s">
        <v>22</v>
      </c>
      <c r="C14" t="s">
        <v>23</v>
      </c>
      <c r="D14">
        <v>296.89</v>
      </c>
      <c r="E14">
        <v>65225</v>
      </c>
      <c r="F14">
        <v>25684</v>
      </c>
      <c r="G14">
        <v>14013</v>
      </c>
      <c r="H14">
        <v>0.54110000000000003</v>
      </c>
      <c r="I14">
        <v>19412</v>
      </c>
      <c r="J14">
        <v>47791</v>
      </c>
      <c r="K14">
        <v>18595</v>
      </c>
      <c r="L14">
        <v>-13854</v>
      </c>
      <c r="M14">
        <v>1257</v>
      </c>
      <c r="N14">
        <v>2.0112999999999999</v>
      </c>
      <c r="O14">
        <v>0</v>
      </c>
      <c r="P14">
        <v>29.321400000000001</v>
      </c>
      <c r="Q14">
        <v>18.638500000000001</v>
      </c>
      <c r="R14">
        <v>29.321400000000001</v>
      </c>
      <c r="S14">
        <v>21.484100000000002</v>
      </c>
      <c r="T14">
        <v>0.28570000000000001</v>
      </c>
      <c r="U14">
        <v>30.001300000000001</v>
      </c>
      <c r="V14">
        <v>49400</v>
      </c>
      <c r="W14">
        <v>1.64</v>
      </c>
    </row>
    <row r="15" spans="1:23" x14ac:dyDescent="0.3">
      <c r="A15">
        <v>2009</v>
      </c>
      <c r="B15" t="s">
        <v>22</v>
      </c>
      <c r="C15" t="s">
        <v>23</v>
      </c>
      <c r="D15">
        <v>189.8</v>
      </c>
      <c r="E15">
        <v>42905</v>
      </c>
      <c r="F15">
        <v>17222</v>
      </c>
      <c r="G15">
        <v>8235</v>
      </c>
      <c r="H15">
        <v>0.32429999999999998</v>
      </c>
      <c r="I15">
        <v>12474</v>
      </c>
      <c r="J15">
        <v>31640</v>
      </c>
      <c r="K15">
        <v>10159</v>
      </c>
      <c r="L15">
        <v>-17434</v>
      </c>
      <c r="M15">
        <v>663</v>
      </c>
      <c r="N15">
        <v>2.7425000000000002</v>
      </c>
      <c r="O15">
        <v>0</v>
      </c>
      <c r="P15">
        <v>26.027200000000001</v>
      </c>
      <c r="Q15">
        <v>17.336500000000001</v>
      </c>
      <c r="R15">
        <v>26.027200000000001</v>
      </c>
      <c r="S15">
        <v>19.1936</v>
      </c>
      <c r="T15">
        <v>0.35499999999999998</v>
      </c>
      <c r="U15">
        <v>26.405200000000001</v>
      </c>
      <c r="V15">
        <v>36800</v>
      </c>
      <c r="W15">
        <v>-0.35549999999999998</v>
      </c>
    </row>
    <row r="16" spans="1:23" x14ac:dyDescent="0.3">
      <c r="A16">
        <v>2023</v>
      </c>
      <c r="B16" t="s">
        <v>24</v>
      </c>
      <c r="C16" t="s">
        <v>23</v>
      </c>
      <c r="D16">
        <v>2451.23</v>
      </c>
      <c r="E16">
        <v>211915</v>
      </c>
      <c r="F16">
        <v>146052</v>
      </c>
      <c r="G16">
        <v>72361</v>
      </c>
      <c r="H16">
        <v>9.68</v>
      </c>
      <c r="I16">
        <v>102384</v>
      </c>
      <c r="J16">
        <v>206223</v>
      </c>
      <c r="K16">
        <v>87582</v>
      </c>
      <c r="L16">
        <v>-22680</v>
      </c>
      <c r="M16">
        <v>-43935</v>
      </c>
      <c r="N16">
        <v>1.7692000000000001</v>
      </c>
      <c r="O16">
        <v>0.2291</v>
      </c>
      <c r="P16">
        <v>35.088700000000003</v>
      </c>
      <c r="Q16">
        <v>17.564399999999999</v>
      </c>
      <c r="R16">
        <v>29.152799999999999</v>
      </c>
      <c r="S16">
        <v>34.1462</v>
      </c>
      <c r="T16">
        <v>-0.68079999999999996</v>
      </c>
      <c r="U16">
        <v>56.106400000000001</v>
      </c>
      <c r="V16">
        <v>221000</v>
      </c>
      <c r="W16">
        <v>3.7</v>
      </c>
    </row>
    <row r="17" spans="1:23" x14ac:dyDescent="0.3">
      <c r="A17">
        <v>2022</v>
      </c>
      <c r="B17" t="s">
        <v>24</v>
      </c>
      <c r="C17" t="s">
        <v>23</v>
      </c>
      <c r="D17">
        <v>1787.73</v>
      </c>
      <c r="E17">
        <v>198270</v>
      </c>
      <c r="F17">
        <v>135620</v>
      </c>
      <c r="G17">
        <v>72738</v>
      </c>
      <c r="H17">
        <v>9.65</v>
      </c>
      <c r="I17">
        <v>97843</v>
      </c>
      <c r="J17">
        <v>166542</v>
      </c>
      <c r="K17">
        <v>89035</v>
      </c>
      <c r="L17">
        <v>-30311</v>
      </c>
      <c r="M17">
        <v>-58876</v>
      </c>
      <c r="N17">
        <v>1.7846</v>
      </c>
      <c r="O17">
        <v>0.2989</v>
      </c>
      <c r="P17">
        <v>43.6755</v>
      </c>
      <c r="Q17">
        <v>19.937000000000001</v>
      </c>
      <c r="R17">
        <v>34.057499999999997</v>
      </c>
      <c r="S17">
        <v>36.686300000000003</v>
      </c>
      <c r="T17">
        <v>1.2643</v>
      </c>
      <c r="U17">
        <v>82.920699999999997</v>
      </c>
      <c r="V17">
        <v>221000</v>
      </c>
      <c r="W17">
        <v>8.0028000000000006</v>
      </c>
    </row>
    <row r="18" spans="1:23" x14ac:dyDescent="0.3">
      <c r="A18">
        <v>2021</v>
      </c>
      <c r="B18" t="s">
        <v>24</v>
      </c>
      <c r="C18" t="s">
        <v>23</v>
      </c>
      <c r="D18">
        <v>2525.08</v>
      </c>
      <c r="E18">
        <v>168088</v>
      </c>
      <c r="F18">
        <v>115856</v>
      </c>
      <c r="G18">
        <v>61271</v>
      </c>
      <c r="H18">
        <v>8.0500000000000007</v>
      </c>
      <c r="I18">
        <v>81602</v>
      </c>
      <c r="J18">
        <v>141988</v>
      </c>
      <c r="K18">
        <v>76740</v>
      </c>
      <c r="L18">
        <v>-27577</v>
      </c>
      <c r="M18">
        <v>-48486</v>
      </c>
      <c r="N18">
        <v>2.08</v>
      </c>
      <c r="O18">
        <v>0.40949999999999998</v>
      </c>
      <c r="P18">
        <v>43.152200000000001</v>
      </c>
      <c r="Q18">
        <v>18.3568</v>
      </c>
      <c r="R18">
        <v>31.901700000000002</v>
      </c>
      <c r="S18">
        <v>36.451700000000002</v>
      </c>
      <c r="T18">
        <v>1.4886999999999999</v>
      </c>
      <c r="U18">
        <v>72.529799999999994</v>
      </c>
      <c r="V18">
        <v>181000</v>
      </c>
      <c r="W18">
        <v>4.6978999999999997</v>
      </c>
    </row>
    <row r="19" spans="1:23" x14ac:dyDescent="0.3">
      <c r="A19">
        <v>2020</v>
      </c>
      <c r="B19" t="s">
        <v>24</v>
      </c>
      <c r="C19" t="s">
        <v>23</v>
      </c>
      <c r="D19">
        <v>1681.61</v>
      </c>
      <c r="E19">
        <v>143015</v>
      </c>
      <c r="F19">
        <v>96937</v>
      </c>
      <c r="G19">
        <v>44281</v>
      </c>
      <c r="H19">
        <v>5.76</v>
      </c>
      <c r="I19">
        <v>65755</v>
      </c>
      <c r="J19">
        <v>118304</v>
      </c>
      <c r="K19">
        <v>60675</v>
      </c>
      <c r="L19">
        <v>-12223</v>
      </c>
      <c r="M19">
        <v>-46031</v>
      </c>
      <c r="N19">
        <v>2.5158</v>
      </c>
      <c r="O19">
        <v>0.5353</v>
      </c>
      <c r="P19">
        <v>37.4298</v>
      </c>
      <c r="Q19">
        <v>14.696099999999999</v>
      </c>
      <c r="R19">
        <v>24.8935</v>
      </c>
      <c r="S19">
        <v>30.962499999999999</v>
      </c>
      <c r="T19">
        <v>0.9526</v>
      </c>
      <c r="U19">
        <v>65.200599999999994</v>
      </c>
      <c r="V19">
        <v>163000</v>
      </c>
      <c r="W19">
        <v>1.2336</v>
      </c>
    </row>
    <row r="20" spans="1:23" x14ac:dyDescent="0.3">
      <c r="A20">
        <v>2019</v>
      </c>
      <c r="B20" t="s">
        <v>24</v>
      </c>
      <c r="C20" t="s">
        <v>23</v>
      </c>
      <c r="D20">
        <v>1203.06</v>
      </c>
      <c r="E20">
        <v>125843</v>
      </c>
      <c r="F20">
        <v>82933</v>
      </c>
      <c r="G20">
        <v>39240</v>
      </c>
      <c r="H20">
        <v>5.0599999999999996</v>
      </c>
      <c r="I20">
        <v>54641</v>
      </c>
      <c r="J20">
        <v>102330</v>
      </c>
      <c r="K20">
        <v>52185</v>
      </c>
      <c r="L20">
        <v>-15773</v>
      </c>
      <c r="M20">
        <v>-36887</v>
      </c>
      <c r="N20">
        <v>2.5287999999999999</v>
      </c>
      <c r="O20">
        <v>0.70530000000000004</v>
      </c>
      <c r="P20">
        <v>38.346499999999999</v>
      </c>
      <c r="Q20">
        <v>13.6937</v>
      </c>
      <c r="R20">
        <v>23.22</v>
      </c>
      <c r="S20">
        <v>31.181699999999999</v>
      </c>
      <c r="T20">
        <v>0.79679999999999995</v>
      </c>
      <c r="U20">
        <v>74.6661</v>
      </c>
      <c r="V20">
        <v>144000</v>
      </c>
      <c r="W20">
        <v>1.8122</v>
      </c>
    </row>
    <row r="21" spans="1:23" x14ac:dyDescent="0.3">
      <c r="A21">
        <v>2018</v>
      </c>
      <c r="B21" t="s">
        <v>24</v>
      </c>
      <c r="C21" t="s">
        <v>23</v>
      </c>
      <c r="D21">
        <v>779.67</v>
      </c>
      <c r="E21">
        <v>110360</v>
      </c>
      <c r="F21">
        <v>72007</v>
      </c>
      <c r="G21">
        <v>16571</v>
      </c>
      <c r="H21">
        <v>2.13</v>
      </c>
      <c r="I21">
        <v>45319</v>
      </c>
      <c r="J21">
        <v>82718</v>
      </c>
      <c r="K21">
        <v>43884</v>
      </c>
      <c r="L21">
        <v>-6061</v>
      </c>
      <c r="M21">
        <v>-33590</v>
      </c>
      <c r="N21">
        <v>2.9007999999999998</v>
      </c>
      <c r="O21">
        <v>0.92169999999999996</v>
      </c>
      <c r="P21">
        <v>20.033100000000001</v>
      </c>
      <c r="Q21">
        <v>6.4017999999999997</v>
      </c>
      <c r="R21">
        <v>10.6937</v>
      </c>
      <c r="S21">
        <v>15.0154</v>
      </c>
      <c r="T21">
        <v>0.13170000000000001</v>
      </c>
      <c r="U21">
        <v>42.509399999999999</v>
      </c>
      <c r="V21">
        <v>131000</v>
      </c>
      <c r="W21">
        <v>2.4426000000000001</v>
      </c>
    </row>
    <row r="22" spans="1:23" x14ac:dyDescent="0.3">
      <c r="A22">
        <v>2017</v>
      </c>
      <c r="B22" t="s">
        <v>24</v>
      </c>
      <c r="C22" t="s">
        <v>23</v>
      </c>
      <c r="D22">
        <v>659.91</v>
      </c>
      <c r="E22">
        <v>96571</v>
      </c>
      <c r="F22">
        <v>62310</v>
      </c>
      <c r="G22">
        <v>25489</v>
      </c>
      <c r="H22">
        <v>3.25</v>
      </c>
      <c r="I22">
        <v>37803</v>
      </c>
      <c r="J22">
        <v>87711</v>
      </c>
      <c r="K22">
        <v>39507</v>
      </c>
      <c r="L22">
        <v>-46781</v>
      </c>
      <c r="M22">
        <v>8408</v>
      </c>
      <c r="N22">
        <v>2.9186000000000001</v>
      </c>
      <c r="O22">
        <v>0.98270000000000002</v>
      </c>
      <c r="P22">
        <v>29.060199999999998</v>
      </c>
      <c r="Q22">
        <v>10.1829</v>
      </c>
      <c r="R22">
        <v>15.5626</v>
      </c>
      <c r="S22">
        <v>26.394100000000002</v>
      </c>
      <c r="T22">
        <v>0.88870000000000005</v>
      </c>
      <c r="U22">
        <v>59.998100000000001</v>
      </c>
      <c r="V22">
        <v>124000</v>
      </c>
      <c r="W22">
        <v>2.1301000000000001</v>
      </c>
    </row>
    <row r="23" spans="1:23" x14ac:dyDescent="0.3">
      <c r="A23">
        <v>2016</v>
      </c>
      <c r="B23" t="s">
        <v>24</v>
      </c>
      <c r="C23" t="s">
        <v>23</v>
      </c>
      <c r="D23">
        <v>483.16</v>
      </c>
      <c r="E23">
        <v>91154</v>
      </c>
      <c r="F23">
        <v>58374</v>
      </c>
      <c r="G23">
        <v>20539</v>
      </c>
      <c r="H23">
        <v>2.56</v>
      </c>
      <c r="I23">
        <v>33330</v>
      </c>
      <c r="J23">
        <v>71997</v>
      </c>
      <c r="K23">
        <v>33325</v>
      </c>
      <c r="L23">
        <v>-23950</v>
      </c>
      <c r="M23">
        <v>-8393</v>
      </c>
      <c r="N23">
        <v>2.3529</v>
      </c>
      <c r="O23">
        <v>0.74250000000000005</v>
      </c>
      <c r="P23">
        <v>28.5276</v>
      </c>
      <c r="Q23">
        <v>10.616199999999999</v>
      </c>
      <c r="R23">
        <v>18.248100000000001</v>
      </c>
      <c r="S23">
        <v>22.5322</v>
      </c>
      <c r="T23">
        <v>0.24349999999999999</v>
      </c>
      <c r="U23">
        <v>40.758499999999998</v>
      </c>
      <c r="V23">
        <v>114000</v>
      </c>
      <c r="W23">
        <v>1.2616000000000001</v>
      </c>
    </row>
    <row r="24" spans="1:23" x14ac:dyDescent="0.3">
      <c r="A24">
        <v>2015</v>
      </c>
      <c r="B24" t="s">
        <v>24</v>
      </c>
      <c r="C24" t="s">
        <v>23</v>
      </c>
      <c r="D24">
        <v>443.17</v>
      </c>
      <c r="E24">
        <v>93580</v>
      </c>
      <c r="F24">
        <v>60542</v>
      </c>
      <c r="G24">
        <v>12193</v>
      </c>
      <c r="H24">
        <v>1.48</v>
      </c>
      <c r="I24">
        <v>31616</v>
      </c>
      <c r="J24">
        <v>80083</v>
      </c>
      <c r="K24">
        <v>29668</v>
      </c>
      <c r="L24">
        <v>-23001</v>
      </c>
      <c r="M24">
        <v>-9668</v>
      </c>
      <c r="N24">
        <v>2.4733999999999998</v>
      </c>
      <c r="O24">
        <v>0.44069999999999998</v>
      </c>
      <c r="P24">
        <v>15.2255</v>
      </c>
      <c r="Q24">
        <v>6.9885000000000002</v>
      </c>
      <c r="R24">
        <v>11.3012</v>
      </c>
      <c r="S24">
        <v>13.029500000000001</v>
      </c>
      <c r="T24">
        <v>-0.34250000000000003</v>
      </c>
      <c r="U24">
        <v>20.911000000000001</v>
      </c>
      <c r="V24">
        <v>118000</v>
      </c>
      <c r="W24">
        <v>0.1186</v>
      </c>
    </row>
    <row r="25" spans="1:23" x14ac:dyDescent="0.3">
      <c r="A25">
        <v>2014</v>
      </c>
      <c r="B25" t="s">
        <v>24</v>
      </c>
      <c r="C25" t="s">
        <v>23</v>
      </c>
      <c r="D25">
        <v>382.88</v>
      </c>
      <c r="E25">
        <v>86833</v>
      </c>
      <c r="F25">
        <v>59755</v>
      </c>
      <c r="G25">
        <v>22074</v>
      </c>
      <c r="H25">
        <v>2.63</v>
      </c>
      <c r="I25">
        <v>32971</v>
      </c>
      <c r="J25">
        <v>89784</v>
      </c>
      <c r="K25">
        <v>32502</v>
      </c>
      <c r="L25">
        <v>-18833</v>
      </c>
      <c r="M25">
        <v>-8665</v>
      </c>
      <c r="N25">
        <v>2.504</v>
      </c>
      <c r="O25">
        <v>0.25219999999999998</v>
      </c>
      <c r="P25">
        <v>24.585699999999999</v>
      </c>
      <c r="Q25">
        <v>12.805099999999999</v>
      </c>
      <c r="R25">
        <v>19.9893</v>
      </c>
      <c r="S25">
        <v>25.421199999999999</v>
      </c>
      <c r="T25">
        <v>0.31519999999999998</v>
      </c>
      <c r="U25">
        <v>35.219200000000001</v>
      </c>
      <c r="V25">
        <v>128000</v>
      </c>
      <c r="W25">
        <v>1.6222000000000001</v>
      </c>
    </row>
    <row r="26" spans="1:23" x14ac:dyDescent="0.3">
      <c r="A26">
        <v>2013</v>
      </c>
      <c r="B26" t="s">
        <v>24</v>
      </c>
      <c r="C26" t="s">
        <v>23</v>
      </c>
      <c r="D26">
        <v>312.3</v>
      </c>
      <c r="E26">
        <v>77849</v>
      </c>
      <c r="F26">
        <v>57464</v>
      </c>
      <c r="G26">
        <v>21863</v>
      </c>
      <c r="H26">
        <v>2.58</v>
      </c>
      <c r="I26">
        <v>30519</v>
      </c>
      <c r="J26">
        <v>78944</v>
      </c>
      <c r="K26">
        <v>28833</v>
      </c>
      <c r="L26">
        <v>-23811</v>
      </c>
      <c r="M26">
        <v>-8148</v>
      </c>
      <c r="N26">
        <v>2.7118000000000002</v>
      </c>
      <c r="O26">
        <v>0.1976</v>
      </c>
      <c r="P26">
        <v>27.694299999999998</v>
      </c>
      <c r="Q26">
        <v>15.3499</v>
      </c>
      <c r="R26">
        <v>23.882200000000001</v>
      </c>
      <c r="S26">
        <v>28.0839</v>
      </c>
      <c r="T26">
        <v>-0.54559999999999997</v>
      </c>
      <c r="U26">
        <v>35.720399999999998</v>
      </c>
      <c r="V26">
        <v>118000</v>
      </c>
      <c r="W26">
        <v>1.4648000000000001</v>
      </c>
    </row>
    <row r="27" spans="1:23" x14ac:dyDescent="0.3">
      <c r="A27">
        <v>2012</v>
      </c>
      <c r="B27" t="s">
        <v>24</v>
      </c>
      <c r="C27" t="s">
        <v>23</v>
      </c>
      <c r="D27">
        <v>224.8</v>
      </c>
      <c r="E27">
        <v>73723</v>
      </c>
      <c r="F27">
        <v>56193</v>
      </c>
      <c r="G27">
        <v>16978</v>
      </c>
      <c r="H27">
        <v>2</v>
      </c>
      <c r="I27">
        <v>30923</v>
      </c>
      <c r="J27">
        <v>66363</v>
      </c>
      <c r="K27">
        <v>31626</v>
      </c>
      <c r="L27">
        <v>-24786</v>
      </c>
      <c r="M27">
        <v>-9408</v>
      </c>
      <c r="N27">
        <v>2.6029</v>
      </c>
      <c r="O27">
        <v>0.18</v>
      </c>
      <c r="P27">
        <v>25.583500000000001</v>
      </c>
      <c r="Q27">
        <v>14.0001</v>
      </c>
      <c r="R27">
        <v>22.0276</v>
      </c>
      <c r="S27">
        <v>23.029499999999999</v>
      </c>
      <c r="T27">
        <v>0.57979999999999998</v>
      </c>
      <c r="U27">
        <v>34.132800000000003</v>
      </c>
      <c r="V27">
        <v>128000</v>
      </c>
      <c r="W27">
        <v>2.0693000000000001</v>
      </c>
    </row>
    <row r="28" spans="1:23" x14ac:dyDescent="0.3">
      <c r="A28">
        <v>2011</v>
      </c>
      <c r="B28" t="s">
        <v>24</v>
      </c>
      <c r="C28" t="s">
        <v>23</v>
      </c>
      <c r="D28">
        <v>218.38</v>
      </c>
      <c r="E28">
        <v>69943</v>
      </c>
      <c r="F28">
        <v>54366</v>
      </c>
      <c r="G28">
        <v>23150</v>
      </c>
      <c r="H28">
        <v>2.69</v>
      </c>
      <c r="I28">
        <v>29927</v>
      </c>
      <c r="J28">
        <v>57083</v>
      </c>
      <c r="K28">
        <v>26994</v>
      </c>
      <c r="L28">
        <v>-14616</v>
      </c>
      <c r="M28">
        <v>-8376</v>
      </c>
      <c r="N28">
        <v>2.6036999999999999</v>
      </c>
      <c r="O28">
        <v>0.20880000000000001</v>
      </c>
      <c r="P28">
        <v>40.555</v>
      </c>
      <c r="Q28">
        <v>21.296399999999998</v>
      </c>
      <c r="R28">
        <v>33.5488</v>
      </c>
      <c r="S28">
        <v>33.098399999999998</v>
      </c>
      <c r="T28">
        <v>0.3921</v>
      </c>
      <c r="U28">
        <v>52.904600000000002</v>
      </c>
      <c r="V28">
        <v>99000</v>
      </c>
      <c r="W28">
        <v>3.1568000000000001</v>
      </c>
    </row>
    <row r="29" spans="1:23" x14ac:dyDescent="0.3">
      <c r="A29">
        <v>2010</v>
      </c>
      <c r="B29" t="s">
        <v>24</v>
      </c>
      <c r="C29" t="s">
        <v>23</v>
      </c>
      <c r="D29">
        <v>238.78</v>
      </c>
      <c r="E29">
        <v>62484</v>
      </c>
      <c r="F29">
        <v>50089</v>
      </c>
      <c r="G29">
        <v>18760</v>
      </c>
      <c r="H29">
        <v>2.1</v>
      </c>
      <c r="I29">
        <v>26771</v>
      </c>
      <c r="J29">
        <v>46175</v>
      </c>
      <c r="K29">
        <v>24073</v>
      </c>
      <c r="L29">
        <v>-11314</v>
      </c>
      <c r="M29">
        <v>-13291</v>
      </c>
      <c r="N29">
        <v>2.1293000000000002</v>
      </c>
      <c r="O29">
        <v>0.12859999999999999</v>
      </c>
      <c r="P29">
        <v>40.628</v>
      </c>
      <c r="Q29">
        <v>21.785299999999999</v>
      </c>
      <c r="R29">
        <v>36.702300000000001</v>
      </c>
      <c r="S29">
        <v>30.023700000000002</v>
      </c>
      <c r="T29">
        <v>0.70569999999999999</v>
      </c>
      <c r="U29">
        <v>57.505400000000002</v>
      </c>
      <c r="V29">
        <v>94000</v>
      </c>
      <c r="W29">
        <v>1.64</v>
      </c>
    </row>
    <row r="30" spans="1:23" x14ac:dyDescent="0.3">
      <c r="A30">
        <v>2009</v>
      </c>
      <c r="B30" t="s">
        <v>24</v>
      </c>
      <c r="C30" t="s">
        <v>23</v>
      </c>
      <c r="D30">
        <v>270.64</v>
      </c>
      <c r="E30">
        <v>58437</v>
      </c>
      <c r="F30">
        <v>46282</v>
      </c>
      <c r="G30">
        <v>14569</v>
      </c>
      <c r="H30">
        <v>1.62</v>
      </c>
      <c r="I30">
        <v>22925</v>
      </c>
      <c r="J30">
        <v>39558</v>
      </c>
      <c r="K30">
        <v>19037</v>
      </c>
      <c r="L30">
        <v>-15770</v>
      </c>
      <c r="M30">
        <v>-7463</v>
      </c>
      <c r="N30">
        <v>1.8229</v>
      </c>
      <c r="O30">
        <v>0.14530000000000001</v>
      </c>
      <c r="P30">
        <v>36.829500000000003</v>
      </c>
      <c r="Q30">
        <v>18.705100000000002</v>
      </c>
      <c r="R30">
        <v>33.643500000000003</v>
      </c>
      <c r="S30">
        <v>24.931100000000001</v>
      </c>
      <c r="T30">
        <v>1.7695000000000001</v>
      </c>
      <c r="U30">
        <v>57.594099999999997</v>
      </c>
      <c r="V30">
        <v>90000</v>
      </c>
      <c r="W30">
        <v>-0.35549999999999998</v>
      </c>
    </row>
    <row r="31" spans="1:23" x14ac:dyDescent="0.3">
      <c r="A31">
        <v>2022</v>
      </c>
      <c r="B31" t="s">
        <v>25</v>
      </c>
      <c r="C31" t="s">
        <v>23</v>
      </c>
      <c r="D31">
        <v>1144.3499999999999</v>
      </c>
      <c r="E31">
        <v>282836</v>
      </c>
      <c r="F31">
        <v>156633</v>
      </c>
      <c r="G31">
        <v>59972</v>
      </c>
      <c r="H31">
        <v>4.5599999999999996</v>
      </c>
      <c r="I31">
        <v>90770</v>
      </c>
      <c r="J31">
        <v>256144</v>
      </c>
      <c r="K31">
        <v>91495</v>
      </c>
      <c r="L31">
        <v>-20298</v>
      </c>
      <c r="M31">
        <v>-69757</v>
      </c>
      <c r="N31">
        <v>2.3780000000000001</v>
      </c>
      <c r="O31">
        <v>5.74E-2</v>
      </c>
      <c r="P31">
        <v>23.413399999999999</v>
      </c>
      <c r="Q31">
        <v>16.418800000000001</v>
      </c>
      <c r="R31">
        <v>22.142600000000002</v>
      </c>
      <c r="S31">
        <v>21.203800000000001</v>
      </c>
      <c r="T31">
        <v>-0.36130000000000001</v>
      </c>
      <c r="U31">
        <v>26.642399999999999</v>
      </c>
      <c r="V31">
        <v>190234</v>
      </c>
      <c r="W31">
        <v>8.0028000000000006</v>
      </c>
    </row>
    <row r="32" spans="1:23" x14ac:dyDescent="0.3">
      <c r="A32">
        <v>2021</v>
      </c>
      <c r="B32" t="s">
        <v>25</v>
      </c>
      <c r="C32" t="s">
        <v>23</v>
      </c>
      <c r="D32">
        <v>1910.26</v>
      </c>
      <c r="E32">
        <v>257637</v>
      </c>
      <c r="F32">
        <v>146698</v>
      </c>
      <c r="G32">
        <v>76033</v>
      </c>
      <c r="H32">
        <v>5.61</v>
      </c>
      <c r="I32">
        <v>91155</v>
      </c>
      <c r="J32">
        <v>251635</v>
      </c>
      <c r="K32">
        <v>91652</v>
      </c>
      <c r="L32">
        <v>-35523</v>
      </c>
      <c r="M32">
        <v>-61362</v>
      </c>
      <c r="N32">
        <v>2.9281000000000001</v>
      </c>
      <c r="O32">
        <v>5.8900000000000001E-2</v>
      </c>
      <c r="P32">
        <v>30.215599999999998</v>
      </c>
      <c r="Q32">
        <v>21.1633</v>
      </c>
      <c r="R32">
        <v>28.535399999999999</v>
      </c>
      <c r="S32">
        <v>29.511700000000001</v>
      </c>
      <c r="T32">
        <v>1.7122999999999999</v>
      </c>
      <c r="U32">
        <v>33.456099999999999</v>
      </c>
      <c r="V32">
        <v>156500</v>
      </c>
      <c r="W32">
        <v>4.6978999999999997</v>
      </c>
    </row>
    <row r="33" spans="1:23" x14ac:dyDescent="0.3">
      <c r="A33">
        <v>2020</v>
      </c>
      <c r="B33" t="s">
        <v>25</v>
      </c>
      <c r="C33" t="s">
        <v>23</v>
      </c>
      <c r="D33">
        <v>1179.4000000000001</v>
      </c>
      <c r="E33">
        <v>182527</v>
      </c>
      <c r="F33">
        <v>97795</v>
      </c>
      <c r="G33">
        <v>40269</v>
      </c>
      <c r="H33">
        <v>2.93</v>
      </c>
      <c r="I33">
        <v>54921</v>
      </c>
      <c r="J33">
        <v>222544</v>
      </c>
      <c r="K33">
        <v>65124</v>
      </c>
      <c r="L33">
        <v>-32773</v>
      </c>
      <c r="M33">
        <v>-24408</v>
      </c>
      <c r="N33">
        <v>3.0668000000000002</v>
      </c>
      <c r="O33">
        <v>6.2600000000000003E-2</v>
      </c>
      <c r="P33">
        <v>18.094899999999999</v>
      </c>
      <c r="Q33">
        <v>12.5992</v>
      </c>
      <c r="R33">
        <v>17.0288</v>
      </c>
      <c r="S33">
        <v>22.061900000000001</v>
      </c>
      <c r="T33">
        <v>0.84299999999999997</v>
      </c>
      <c r="U33">
        <v>20.142199999999999</v>
      </c>
      <c r="V33">
        <v>135301</v>
      </c>
      <c r="W33">
        <v>1.2336</v>
      </c>
    </row>
    <row r="34" spans="1:23" x14ac:dyDescent="0.3">
      <c r="A34">
        <v>2019</v>
      </c>
      <c r="B34" t="s">
        <v>25</v>
      </c>
      <c r="C34" t="s">
        <v>23</v>
      </c>
      <c r="D34">
        <v>917.82</v>
      </c>
      <c r="E34">
        <v>161857</v>
      </c>
      <c r="F34">
        <v>89961</v>
      </c>
      <c r="G34">
        <v>34343</v>
      </c>
      <c r="H34">
        <v>2.4580000000000002</v>
      </c>
      <c r="I34">
        <v>46012</v>
      </c>
      <c r="J34">
        <v>201442</v>
      </c>
      <c r="K34">
        <v>54520</v>
      </c>
      <c r="L34">
        <v>-29491</v>
      </c>
      <c r="M34">
        <v>-23209</v>
      </c>
      <c r="N34">
        <v>3.3740999999999999</v>
      </c>
      <c r="O34">
        <v>2.2599999999999999E-2</v>
      </c>
      <c r="P34">
        <v>17.0486</v>
      </c>
      <c r="Q34">
        <v>12.4472</v>
      </c>
      <c r="R34">
        <v>16.671700000000001</v>
      </c>
      <c r="S34">
        <v>21.2181</v>
      </c>
      <c r="T34">
        <v>0.55659999999999998</v>
      </c>
      <c r="U34">
        <v>19.203299999999999</v>
      </c>
      <c r="V34">
        <v>118899</v>
      </c>
      <c r="W34">
        <v>1.8122</v>
      </c>
    </row>
    <row r="35" spans="1:23" x14ac:dyDescent="0.3">
      <c r="A35">
        <v>2018</v>
      </c>
      <c r="B35" t="s">
        <v>25</v>
      </c>
      <c r="C35" t="s">
        <v>23</v>
      </c>
      <c r="D35">
        <v>719.63</v>
      </c>
      <c r="E35">
        <v>136819</v>
      </c>
      <c r="F35">
        <v>77270</v>
      </c>
      <c r="G35">
        <v>30736</v>
      </c>
      <c r="H35">
        <v>2.1850000000000001</v>
      </c>
      <c r="I35">
        <v>36559</v>
      </c>
      <c r="J35">
        <v>177628</v>
      </c>
      <c r="K35">
        <v>47971</v>
      </c>
      <c r="L35">
        <v>-28504</v>
      </c>
      <c r="M35">
        <v>-13179</v>
      </c>
      <c r="N35">
        <v>3.919</v>
      </c>
      <c r="O35">
        <v>2.2599999999999999E-2</v>
      </c>
      <c r="P35">
        <v>17.303599999999999</v>
      </c>
      <c r="Q35">
        <v>13.203200000000001</v>
      </c>
      <c r="R35">
        <v>16.921399999999998</v>
      </c>
      <c r="S35">
        <v>22.464700000000001</v>
      </c>
      <c r="T35">
        <v>-7.0499999999999993E-2</v>
      </c>
      <c r="U35">
        <v>19.5124</v>
      </c>
      <c r="V35">
        <v>98771</v>
      </c>
      <c r="W35">
        <v>2.4426000000000001</v>
      </c>
    </row>
    <row r="36" spans="1:23" x14ac:dyDescent="0.3">
      <c r="A36">
        <v>2017</v>
      </c>
      <c r="B36" t="s">
        <v>25</v>
      </c>
      <c r="C36" t="s">
        <v>23</v>
      </c>
      <c r="D36">
        <v>726.47</v>
      </c>
      <c r="E36">
        <v>110855</v>
      </c>
      <c r="F36">
        <v>65272</v>
      </c>
      <c r="G36">
        <v>12662</v>
      </c>
      <c r="H36">
        <v>0.9</v>
      </c>
      <c r="I36">
        <v>33093</v>
      </c>
      <c r="J36">
        <v>152502</v>
      </c>
      <c r="K36">
        <v>37091</v>
      </c>
      <c r="L36">
        <v>-31401</v>
      </c>
      <c r="M36">
        <v>-8298</v>
      </c>
      <c r="N36">
        <v>5.1402999999999999</v>
      </c>
      <c r="O36">
        <v>2.5999999999999999E-2</v>
      </c>
      <c r="P36">
        <v>8.3027999999999995</v>
      </c>
      <c r="Q36">
        <v>6.4177999999999997</v>
      </c>
      <c r="R36">
        <v>8.0922000000000001</v>
      </c>
      <c r="S36">
        <v>11.4221</v>
      </c>
      <c r="T36">
        <v>-0.151</v>
      </c>
      <c r="U36">
        <v>9.5158000000000005</v>
      </c>
      <c r="V36">
        <v>80110</v>
      </c>
      <c r="W36">
        <v>2.1301000000000001</v>
      </c>
    </row>
    <row r="37" spans="1:23" x14ac:dyDescent="0.3">
      <c r="A37">
        <v>2016</v>
      </c>
      <c r="B37" t="s">
        <v>25</v>
      </c>
      <c r="C37" t="s">
        <v>23</v>
      </c>
      <c r="D37">
        <v>530.84</v>
      </c>
      <c r="E37">
        <v>90272</v>
      </c>
      <c r="F37">
        <v>55134</v>
      </c>
      <c r="G37">
        <v>19478</v>
      </c>
      <c r="H37">
        <v>1.3925000000000001</v>
      </c>
      <c r="I37">
        <v>29860</v>
      </c>
      <c r="J37">
        <v>139036</v>
      </c>
      <c r="K37">
        <v>36036</v>
      </c>
      <c r="L37">
        <v>-31165</v>
      </c>
      <c r="M37">
        <v>-8332</v>
      </c>
      <c r="N37">
        <v>6.2907999999999999</v>
      </c>
      <c r="O37">
        <v>2.8299999999999999E-2</v>
      </c>
      <c r="P37">
        <v>14.0093</v>
      </c>
      <c r="Q37">
        <v>11.6289</v>
      </c>
      <c r="R37">
        <v>13.623699999999999</v>
      </c>
      <c r="S37">
        <v>21.577000000000002</v>
      </c>
      <c r="T37">
        <v>0.62490000000000001</v>
      </c>
      <c r="U37">
        <v>16.3323</v>
      </c>
      <c r="V37">
        <v>72053</v>
      </c>
      <c r="W37">
        <v>1.2616000000000001</v>
      </c>
    </row>
    <row r="38" spans="1:23" x14ac:dyDescent="0.3">
      <c r="A38">
        <v>2015</v>
      </c>
      <c r="B38" t="s">
        <v>25</v>
      </c>
      <c r="C38" t="s">
        <v>23</v>
      </c>
      <c r="D38">
        <v>521.66999999999996</v>
      </c>
      <c r="E38">
        <v>74989</v>
      </c>
      <c r="F38">
        <v>46825</v>
      </c>
      <c r="G38">
        <v>15826</v>
      </c>
      <c r="H38">
        <v>1.1419999999999999</v>
      </c>
      <c r="I38">
        <v>24423</v>
      </c>
      <c r="J38">
        <v>120331</v>
      </c>
      <c r="K38">
        <v>26572</v>
      </c>
      <c r="L38">
        <v>-23711</v>
      </c>
      <c r="M38">
        <v>-4225</v>
      </c>
      <c r="N38">
        <v>4.6666999999999996</v>
      </c>
      <c r="O38">
        <v>4.3400000000000001E-2</v>
      </c>
      <c r="P38">
        <v>13.585900000000001</v>
      </c>
      <c r="Q38">
        <v>11.0863</v>
      </c>
      <c r="R38">
        <v>13.3643</v>
      </c>
      <c r="S38">
        <v>21.104399999999998</v>
      </c>
      <c r="T38">
        <v>0.3054</v>
      </c>
      <c r="U38">
        <v>16.248100000000001</v>
      </c>
      <c r="V38">
        <v>61814</v>
      </c>
      <c r="W38">
        <v>0.1186</v>
      </c>
    </row>
    <row r="39" spans="1:23" x14ac:dyDescent="0.3">
      <c r="A39">
        <v>2014</v>
      </c>
      <c r="B39" t="s">
        <v>25</v>
      </c>
      <c r="C39" t="s">
        <v>23</v>
      </c>
      <c r="D39">
        <v>354.75</v>
      </c>
      <c r="E39">
        <v>66001</v>
      </c>
      <c r="F39">
        <v>40310</v>
      </c>
      <c r="G39">
        <v>14136</v>
      </c>
      <c r="H39">
        <v>1.0285</v>
      </c>
      <c r="I39">
        <v>21475</v>
      </c>
      <c r="J39">
        <v>103860</v>
      </c>
      <c r="K39">
        <v>23024</v>
      </c>
      <c r="L39">
        <v>-21055</v>
      </c>
      <c r="M39">
        <v>-2087</v>
      </c>
      <c r="N39">
        <v>4.6878000000000002</v>
      </c>
      <c r="O39">
        <v>5.04E-2</v>
      </c>
      <c r="P39">
        <v>13.113799999999999</v>
      </c>
      <c r="Q39">
        <v>10.542899999999999</v>
      </c>
      <c r="R39">
        <v>12.718500000000001</v>
      </c>
      <c r="S39">
        <v>21.417899999999999</v>
      </c>
      <c r="T39">
        <v>4.6300000000000001E-2</v>
      </c>
      <c r="U39">
        <v>16.281400000000001</v>
      </c>
      <c r="V39">
        <v>53600</v>
      </c>
      <c r="W39">
        <v>1.6222000000000001</v>
      </c>
    </row>
    <row r="40" spans="1:23" x14ac:dyDescent="0.3">
      <c r="A40">
        <v>2013</v>
      </c>
      <c r="B40" t="s">
        <v>25</v>
      </c>
      <c r="C40" t="s">
        <v>23</v>
      </c>
      <c r="D40">
        <v>371.53</v>
      </c>
      <c r="E40">
        <v>55519</v>
      </c>
      <c r="F40">
        <v>33526</v>
      </c>
      <c r="G40">
        <v>12733</v>
      </c>
      <c r="H40">
        <v>0.9395</v>
      </c>
      <c r="I40">
        <v>19342</v>
      </c>
      <c r="J40">
        <v>87309</v>
      </c>
      <c r="K40">
        <v>18659</v>
      </c>
      <c r="L40">
        <v>-13679</v>
      </c>
      <c r="M40">
        <v>-857</v>
      </c>
      <c r="N40">
        <v>4.5816999999999997</v>
      </c>
      <c r="O40">
        <v>6.0100000000000001E-2</v>
      </c>
      <c r="P40">
        <v>15.072900000000001</v>
      </c>
      <c r="Q40">
        <v>11.8644</v>
      </c>
      <c r="R40">
        <v>14.6965</v>
      </c>
      <c r="S40">
        <v>22.9345</v>
      </c>
      <c r="T40">
        <v>-0.23730000000000001</v>
      </c>
      <c r="U40">
        <v>18.867100000000001</v>
      </c>
      <c r="V40">
        <v>47756</v>
      </c>
      <c r="W40">
        <v>1.4648000000000001</v>
      </c>
    </row>
    <row r="41" spans="1:23" x14ac:dyDescent="0.3">
      <c r="A41">
        <v>2012</v>
      </c>
      <c r="B41" t="s">
        <v>25</v>
      </c>
      <c r="C41" t="s">
        <v>23</v>
      </c>
      <c r="D41">
        <v>230.54</v>
      </c>
      <c r="E41">
        <v>46039</v>
      </c>
      <c r="F41">
        <v>28863</v>
      </c>
      <c r="G41">
        <v>10737</v>
      </c>
      <c r="H41">
        <v>0.80800000000000005</v>
      </c>
      <c r="I41">
        <v>16796</v>
      </c>
      <c r="J41">
        <v>71715</v>
      </c>
      <c r="K41">
        <v>16619</v>
      </c>
      <c r="L41">
        <v>-13056</v>
      </c>
      <c r="M41">
        <v>1229</v>
      </c>
      <c r="N41">
        <v>4.2165999999999997</v>
      </c>
      <c r="O41">
        <v>7.7200000000000005E-2</v>
      </c>
      <c r="P41">
        <v>16.1096</v>
      </c>
      <c r="Q41">
        <v>12.3169</v>
      </c>
      <c r="R41">
        <v>15.465199999999999</v>
      </c>
      <c r="S41">
        <v>23.3215</v>
      </c>
      <c r="T41">
        <v>0.15390000000000001</v>
      </c>
      <c r="U41">
        <v>21.512</v>
      </c>
      <c r="V41">
        <v>53861</v>
      </c>
      <c r="W41">
        <v>2.0693000000000001</v>
      </c>
    </row>
    <row r="42" spans="1:23" x14ac:dyDescent="0.3">
      <c r="A42">
        <v>2011</v>
      </c>
      <c r="B42" t="s">
        <v>25</v>
      </c>
      <c r="C42" t="s">
        <v>23</v>
      </c>
      <c r="D42">
        <v>207.65</v>
      </c>
      <c r="E42">
        <v>37905</v>
      </c>
      <c r="F42">
        <v>24717</v>
      </c>
      <c r="G42">
        <v>9737</v>
      </c>
      <c r="H42">
        <v>0.74399999999999999</v>
      </c>
      <c r="I42">
        <v>13593</v>
      </c>
      <c r="J42">
        <v>58145</v>
      </c>
      <c r="K42">
        <v>14565</v>
      </c>
      <c r="L42">
        <v>-19041</v>
      </c>
      <c r="M42">
        <v>807</v>
      </c>
      <c r="N42">
        <v>5.9192</v>
      </c>
      <c r="O42">
        <v>7.2300000000000003E-2</v>
      </c>
      <c r="P42">
        <v>16.746099999999998</v>
      </c>
      <c r="Q42">
        <v>13.416700000000001</v>
      </c>
      <c r="R42">
        <v>15.928100000000001</v>
      </c>
      <c r="S42">
        <v>25.687899999999999</v>
      </c>
      <c r="T42">
        <v>0.3039</v>
      </c>
      <c r="U42">
        <v>19.7822</v>
      </c>
      <c r="V42">
        <v>32467</v>
      </c>
      <c r="W42">
        <v>3.1568000000000001</v>
      </c>
    </row>
    <row r="43" spans="1:23" x14ac:dyDescent="0.3">
      <c r="A43">
        <v>2010</v>
      </c>
      <c r="B43" t="s">
        <v>25</v>
      </c>
      <c r="C43" t="s">
        <v>23</v>
      </c>
      <c r="D43">
        <v>188.54</v>
      </c>
      <c r="E43">
        <v>29321</v>
      </c>
      <c r="F43">
        <v>18904</v>
      </c>
      <c r="G43">
        <v>8505</v>
      </c>
      <c r="H43">
        <v>0.65780000000000005</v>
      </c>
      <c r="I43">
        <v>11777</v>
      </c>
      <c r="J43">
        <v>46241</v>
      </c>
      <c r="K43">
        <v>11081</v>
      </c>
      <c r="L43">
        <v>-10680</v>
      </c>
      <c r="M43">
        <v>3050</v>
      </c>
      <c r="N43">
        <v>4.1578999999999997</v>
      </c>
      <c r="O43">
        <v>7.4899999999999994E-2</v>
      </c>
      <c r="P43">
        <v>18.392800000000001</v>
      </c>
      <c r="Q43">
        <v>14.701599999999999</v>
      </c>
      <c r="R43">
        <v>18.392800000000001</v>
      </c>
      <c r="S43">
        <v>29.006499999999999</v>
      </c>
      <c r="T43">
        <v>-0.1195</v>
      </c>
      <c r="U43">
        <v>21.840699999999998</v>
      </c>
      <c r="V43">
        <v>24400</v>
      </c>
      <c r="W43">
        <v>1.64</v>
      </c>
    </row>
    <row r="44" spans="1:23" x14ac:dyDescent="0.3">
      <c r="A44">
        <v>2009</v>
      </c>
      <c r="B44" t="s">
        <v>25</v>
      </c>
      <c r="C44" t="s">
        <v>23</v>
      </c>
      <c r="D44">
        <v>195.27</v>
      </c>
      <c r="E44">
        <v>23651</v>
      </c>
      <c r="F44">
        <v>14807</v>
      </c>
      <c r="G44">
        <v>6520</v>
      </c>
      <c r="H44">
        <v>0.51029999999999998</v>
      </c>
      <c r="I44">
        <v>9836</v>
      </c>
      <c r="J44">
        <v>36004</v>
      </c>
      <c r="K44">
        <v>9316</v>
      </c>
      <c r="L44">
        <v>-8019</v>
      </c>
      <c r="M44">
        <v>233</v>
      </c>
      <c r="N44">
        <v>10.617800000000001</v>
      </c>
      <c r="O44">
        <v>0</v>
      </c>
      <c r="P44">
        <v>18.109100000000002</v>
      </c>
      <c r="Q44">
        <v>16.100000000000001</v>
      </c>
      <c r="R44">
        <v>18.109100000000002</v>
      </c>
      <c r="S44">
        <v>27.567499999999999</v>
      </c>
      <c r="T44">
        <v>0.66569999999999996</v>
      </c>
      <c r="U44">
        <v>21.499700000000001</v>
      </c>
      <c r="V44">
        <v>19835</v>
      </c>
      <c r="W44">
        <v>-0.35549999999999998</v>
      </c>
    </row>
    <row r="45" spans="1:23" x14ac:dyDescent="0.3">
      <c r="A45">
        <v>2022</v>
      </c>
      <c r="B45" t="s">
        <v>26</v>
      </c>
      <c r="C45" t="s">
        <v>27</v>
      </c>
      <c r="D45">
        <v>81.19</v>
      </c>
      <c r="E45">
        <v>27518</v>
      </c>
      <c r="F45">
        <v>11653</v>
      </c>
      <c r="G45">
        <v>2419</v>
      </c>
      <c r="H45">
        <v>2.09</v>
      </c>
      <c r="I45">
        <v>5154</v>
      </c>
      <c r="J45">
        <v>20274</v>
      </c>
      <c r="K45">
        <v>5813</v>
      </c>
      <c r="L45">
        <v>-3421</v>
      </c>
      <c r="M45">
        <v>-1110</v>
      </c>
      <c r="N45">
        <v>1.2753000000000001</v>
      </c>
      <c r="O45">
        <v>0.51380000000000003</v>
      </c>
      <c r="P45">
        <v>11.9315</v>
      </c>
      <c r="Q45">
        <v>3.073</v>
      </c>
      <c r="R45">
        <v>7.8818000000000001</v>
      </c>
      <c r="S45">
        <v>8.7905999999999995</v>
      </c>
      <c r="T45">
        <v>0.28799999999999998</v>
      </c>
      <c r="U45">
        <v>29.2256</v>
      </c>
      <c r="V45">
        <v>29900</v>
      </c>
      <c r="W45">
        <v>8.0028000000000006</v>
      </c>
    </row>
    <row r="46" spans="1:23" x14ac:dyDescent="0.3">
      <c r="A46">
        <v>2021</v>
      </c>
      <c r="B46" t="s">
        <v>26</v>
      </c>
      <c r="C46" t="s">
        <v>27</v>
      </c>
      <c r="D46">
        <v>221.57</v>
      </c>
      <c r="E46">
        <v>25371</v>
      </c>
      <c r="F46">
        <v>11921</v>
      </c>
      <c r="G46">
        <v>4169</v>
      </c>
      <c r="H46">
        <v>3.52</v>
      </c>
      <c r="I46">
        <v>5527</v>
      </c>
      <c r="J46">
        <v>21727</v>
      </c>
      <c r="K46">
        <v>5797</v>
      </c>
      <c r="L46">
        <v>-5149</v>
      </c>
      <c r="M46">
        <v>-557</v>
      </c>
      <c r="N46">
        <v>1.2218</v>
      </c>
      <c r="O46">
        <v>0.3705</v>
      </c>
      <c r="P46">
        <v>19.188099999999999</v>
      </c>
      <c r="Q46">
        <v>5.4997999999999996</v>
      </c>
      <c r="R46">
        <v>14.001200000000001</v>
      </c>
      <c r="S46">
        <v>16.432200000000002</v>
      </c>
      <c r="T46">
        <v>-0.48430000000000001</v>
      </c>
      <c r="U46">
        <v>46.627899999999997</v>
      </c>
      <c r="V46">
        <v>30900</v>
      </c>
      <c r="W46">
        <v>4.6978999999999997</v>
      </c>
    </row>
    <row r="47" spans="1:23" x14ac:dyDescent="0.3">
      <c r="A47">
        <v>2020</v>
      </c>
      <c r="B47" t="s">
        <v>26</v>
      </c>
      <c r="C47" t="s">
        <v>27</v>
      </c>
      <c r="D47">
        <v>274.41000000000003</v>
      </c>
      <c r="E47">
        <v>21454</v>
      </c>
      <c r="F47">
        <v>10001</v>
      </c>
      <c r="G47">
        <v>4202</v>
      </c>
      <c r="H47">
        <v>3.54</v>
      </c>
      <c r="I47">
        <v>4478</v>
      </c>
      <c r="J47">
        <v>20063</v>
      </c>
      <c r="K47">
        <v>6219</v>
      </c>
      <c r="L47">
        <v>-16545</v>
      </c>
      <c r="M47">
        <v>12454</v>
      </c>
      <c r="N47">
        <v>1.3264</v>
      </c>
      <c r="O47">
        <v>0.44550000000000001</v>
      </c>
      <c r="P47">
        <v>20.943999999999999</v>
      </c>
      <c r="Q47">
        <v>5.9705000000000004</v>
      </c>
      <c r="R47">
        <v>14.4887</v>
      </c>
      <c r="S47">
        <v>19.586099999999998</v>
      </c>
      <c r="T47">
        <v>1.7623</v>
      </c>
      <c r="U47">
        <v>42.5304</v>
      </c>
      <c r="V47">
        <v>26500</v>
      </c>
      <c r="W47">
        <v>1.2336</v>
      </c>
    </row>
    <row r="48" spans="1:23" x14ac:dyDescent="0.3">
      <c r="A48">
        <v>2019</v>
      </c>
      <c r="B48" t="s">
        <v>26</v>
      </c>
      <c r="C48" t="s">
        <v>27</v>
      </c>
      <c r="D48">
        <v>127.01</v>
      </c>
      <c r="E48">
        <v>17772</v>
      </c>
      <c r="F48">
        <v>7987</v>
      </c>
      <c r="G48">
        <v>2459</v>
      </c>
      <c r="H48">
        <v>2.0699999999999998</v>
      </c>
      <c r="I48">
        <v>3631</v>
      </c>
      <c r="J48">
        <v>16929</v>
      </c>
      <c r="K48">
        <v>4071</v>
      </c>
      <c r="L48">
        <v>-5742</v>
      </c>
      <c r="M48">
        <v>4187</v>
      </c>
      <c r="N48">
        <v>1.43</v>
      </c>
      <c r="O48">
        <v>0.29330000000000001</v>
      </c>
      <c r="P48">
        <v>14.525399999999999</v>
      </c>
      <c r="Q48">
        <v>4.7903000000000002</v>
      </c>
      <c r="R48">
        <v>11.231400000000001</v>
      </c>
      <c r="S48">
        <v>13.836399999999999</v>
      </c>
      <c r="T48">
        <v>-1.0250999999999999</v>
      </c>
      <c r="U48">
        <v>24.7409</v>
      </c>
      <c r="V48">
        <v>23200</v>
      </c>
      <c r="W48">
        <v>1.8122</v>
      </c>
    </row>
    <row r="49" spans="1:23" x14ac:dyDescent="0.3">
      <c r="A49">
        <v>2018</v>
      </c>
      <c r="B49" t="s">
        <v>26</v>
      </c>
      <c r="C49" t="s">
        <v>27</v>
      </c>
      <c r="D49">
        <v>99.09</v>
      </c>
      <c r="E49">
        <v>15451</v>
      </c>
      <c r="F49">
        <v>7189</v>
      </c>
      <c r="G49">
        <v>2057</v>
      </c>
      <c r="H49">
        <v>1.71</v>
      </c>
      <c r="I49">
        <v>2970</v>
      </c>
      <c r="J49">
        <v>15386</v>
      </c>
      <c r="K49">
        <v>5480</v>
      </c>
      <c r="L49">
        <v>821</v>
      </c>
      <c r="M49">
        <v>-1240</v>
      </c>
      <c r="N49">
        <v>1.2725</v>
      </c>
      <c r="O49">
        <v>0.12989999999999999</v>
      </c>
      <c r="P49">
        <v>13.369300000000001</v>
      </c>
      <c r="Q49">
        <v>4.7470999999999997</v>
      </c>
      <c r="R49">
        <v>13.369300000000001</v>
      </c>
      <c r="S49">
        <v>13.3131</v>
      </c>
      <c r="T49">
        <v>2.347</v>
      </c>
      <c r="U49">
        <v>24.852</v>
      </c>
      <c r="V49">
        <v>21800</v>
      </c>
      <c r="W49">
        <v>2.4426000000000001</v>
      </c>
    </row>
    <row r="50" spans="1:23" x14ac:dyDescent="0.3">
      <c r="A50">
        <v>2017</v>
      </c>
      <c r="B50" t="s">
        <v>26</v>
      </c>
      <c r="C50" t="s">
        <v>27</v>
      </c>
      <c r="D50">
        <v>88.48</v>
      </c>
      <c r="E50">
        <v>13094</v>
      </c>
      <c r="F50">
        <v>6399</v>
      </c>
      <c r="G50">
        <v>1795</v>
      </c>
      <c r="H50">
        <v>1.47</v>
      </c>
      <c r="I50">
        <v>2932</v>
      </c>
      <c r="J50">
        <v>15994</v>
      </c>
      <c r="K50">
        <v>2531</v>
      </c>
      <c r="L50">
        <v>-4485</v>
      </c>
      <c r="M50">
        <v>4084</v>
      </c>
      <c r="N50">
        <v>1.4278999999999999</v>
      </c>
      <c r="O50">
        <v>6.25E-2</v>
      </c>
      <c r="P50">
        <v>11.223000000000001</v>
      </c>
      <c r="Q50">
        <v>4.4023000000000003</v>
      </c>
      <c r="R50">
        <v>11.223000000000001</v>
      </c>
      <c r="S50">
        <v>13.708600000000001</v>
      </c>
      <c r="T50">
        <v>-0.51690000000000003</v>
      </c>
      <c r="U50">
        <v>15.6264</v>
      </c>
      <c r="V50">
        <v>18700</v>
      </c>
      <c r="W50">
        <v>2.1301000000000001</v>
      </c>
    </row>
    <row r="51" spans="1:23" x14ac:dyDescent="0.3">
      <c r="A51">
        <v>2016</v>
      </c>
      <c r="B51" t="s">
        <v>26</v>
      </c>
      <c r="C51" t="s">
        <v>27</v>
      </c>
      <c r="D51">
        <v>47.63</v>
      </c>
      <c r="E51">
        <v>10842</v>
      </c>
      <c r="F51">
        <v>5141</v>
      </c>
      <c r="G51">
        <v>1401</v>
      </c>
      <c r="H51">
        <v>1.1499999999999999</v>
      </c>
      <c r="I51">
        <v>2310</v>
      </c>
      <c r="J51">
        <v>14712</v>
      </c>
      <c r="K51">
        <v>3158</v>
      </c>
      <c r="L51">
        <v>-5904</v>
      </c>
      <c r="M51">
        <v>2038</v>
      </c>
      <c r="N51">
        <v>1.5246</v>
      </c>
      <c r="O51">
        <v>0</v>
      </c>
      <c r="P51">
        <v>9.5228000000000002</v>
      </c>
      <c r="Q51">
        <v>4.2321999999999997</v>
      </c>
      <c r="R51">
        <v>9.5228000000000002</v>
      </c>
      <c r="S51">
        <v>12.922000000000001</v>
      </c>
      <c r="T51">
        <v>0.53820000000000001</v>
      </c>
      <c r="U51">
        <v>13.417</v>
      </c>
      <c r="V51">
        <v>18100</v>
      </c>
      <c r="W51">
        <v>1.2616000000000001</v>
      </c>
    </row>
    <row r="52" spans="1:23" x14ac:dyDescent="0.3">
      <c r="A52">
        <v>2015</v>
      </c>
      <c r="B52" t="s">
        <v>26</v>
      </c>
      <c r="C52" t="s">
        <v>27</v>
      </c>
      <c r="D52">
        <v>44.23</v>
      </c>
      <c r="E52">
        <v>9248</v>
      </c>
      <c r="F52">
        <v>4719</v>
      </c>
      <c r="G52">
        <v>1228</v>
      </c>
      <c r="H52">
        <v>1</v>
      </c>
      <c r="I52">
        <v>2069</v>
      </c>
      <c r="J52">
        <v>13759</v>
      </c>
      <c r="K52">
        <v>2546</v>
      </c>
      <c r="L52">
        <v>-8038</v>
      </c>
      <c r="M52">
        <v>4728</v>
      </c>
      <c r="N52">
        <v>1.5163</v>
      </c>
      <c r="O52">
        <v>0</v>
      </c>
      <c r="P52">
        <v>8.9251000000000005</v>
      </c>
      <c r="Q52">
        <v>4.2519</v>
      </c>
      <c r="R52">
        <v>8.9251000000000005</v>
      </c>
      <c r="S52">
        <v>13.278600000000001</v>
      </c>
      <c r="T52">
        <v>9.35E-2</v>
      </c>
      <c r="U52">
        <v>13.159000000000001</v>
      </c>
      <c r="V52">
        <v>16800</v>
      </c>
      <c r="W52">
        <v>0.1186</v>
      </c>
    </row>
    <row r="53" spans="1:23" x14ac:dyDescent="0.3">
      <c r="A53">
        <v>2014</v>
      </c>
      <c r="B53" t="s">
        <v>26</v>
      </c>
      <c r="C53" t="s">
        <v>27</v>
      </c>
      <c r="E53">
        <v>8025</v>
      </c>
      <c r="F53">
        <v>4218</v>
      </c>
      <c r="G53">
        <v>419</v>
      </c>
      <c r="H53">
        <v>0.34</v>
      </c>
      <c r="I53">
        <v>1784</v>
      </c>
      <c r="J53">
        <v>8248</v>
      </c>
      <c r="K53">
        <v>2220</v>
      </c>
      <c r="L53">
        <v>-2881</v>
      </c>
      <c r="M53">
        <v>1284</v>
      </c>
      <c r="N53">
        <v>1.3224</v>
      </c>
      <c r="O53">
        <v>0.13250000000000001</v>
      </c>
      <c r="P53">
        <v>5.08</v>
      </c>
      <c r="Q53">
        <v>1.9117999999999999</v>
      </c>
      <c r="R53">
        <v>5.08</v>
      </c>
      <c r="S53">
        <v>5.2211999999999996</v>
      </c>
      <c r="T53">
        <v>0.10299999999999999</v>
      </c>
      <c r="U53">
        <v>8.5457999999999998</v>
      </c>
      <c r="V53">
        <v>15800</v>
      </c>
      <c r="W53">
        <v>1.6222000000000001</v>
      </c>
    </row>
    <row r="54" spans="1:23" x14ac:dyDescent="0.3">
      <c r="A54">
        <v>2022</v>
      </c>
      <c r="B54" t="s">
        <v>28</v>
      </c>
      <c r="C54" t="s">
        <v>29</v>
      </c>
      <c r="D54">
        <v>46.99</v>
      </c>
      <c r="E54">
        <v>56437</v>
      </c>
      <c r="F54">
        <v>20762</v>
      </c>
      <c r="G54">
        <v>10247</v>
      </c>
      <c r="H54">
        <v>13.01</v>
      </c>
      <c r="I54">
        <v>20640</v>
      </c>
      <c r="J54">
        <v>42235</v>
      </c>
      <c r="K54">
        <v>4207</v>
      </c>
      <c r="L54">
        <v>-3626</v>
      </c>
      <c r="M54">
        <v>-676</v>
      </c>
      <c r="N54">
        <v>1</v>
      </c>
      <c r="O54">
        <v>0.64349999999999996</v>
      </c>
      <c r="P54">
        <v>27.008400000000002</v>
      </c>
      <c r="Q54">
        <v>2.1410999999999998</v>
      </c>
      <c r="R54">
        <v>16.244599999999998</v>
      </c>
      <c r="S54">
        <v>18.156500000000001</v>
      </c>
      <c r="T54">
        <v>-1.9207000000000001</v>
      </c>
      <c r="U54">
        <v>26.6982</v>
      </c>
      <c r="V54">
        <v>26200</v>
      </c>
      <c r="W54">
        <v>8.0028000000000006</v>
      </c>
    </row>
    <row r="55" spans="1:23" x14ac:dyDescent="0.3">
      <c r="A55">
        <v>2021</v>
      </c>
      <c r="B55" t="s">
        <v>28</v>
      </c>
      <c r="C55" t="s">
        <v>29</v>
      </c>
      <c r="D55">
        <v>47.21</v>
      </c>
      <c r="E55">
        <v>52057</v>
      </c>
      <c r="F55">
        <v>15322</v>
      </c>
      <c r="G55">
        <v>9359</v>
      </c>
      <c r="H55">
        <v>10.82</v>
      </c>
      <c r="I55">
        <v>15382</v>
      </c>
      <c r="J55">
        <v>68912</v>
      </c>
      <c r="K55">
        <v>6279</v>
      </c>
      <c r="L55">
        <v>-3280</v>
      </c>
      <c r="M55">
        <v>-3735</v>
      </c>
      <c r="N55">
        <v>1</v>
      </c>
      <c r="O55">
        <v>0.43769999999999998</v>
      </c>
      <c r="P55">
        <v>14.5016</v>
      </c>
      <c r="Q55">
        <v>1.6646000000000001</v>
      </c>
      <c r="R55">
        <v>10.015700000000001</v>
      </c>
      <c r="S55">
        <v>17.978400000000001</v>
      </c>
      <c r="T55">
        <v>6.0658000000000003</v>
      </c>
      <c r="U55">
        <v>14.3995</v>
      </c>
      <c r="V55">
        <v>36600</v>
      </c>
      <c r="W55">
        <v>4.6978999999999997</v>
      </c>
    </row>
    <row r="56" spans="1:23" x14ac:dyDescent="0.3">
      <c r="A56">
        <v>2020</v>
      </c>
      <c r="B56" t="s">
        <v>28</v>
      </c>
      <c r="C56" t="s">
        <v>29</v>
      </c>
      <c r="D56">
        <v>32.619999999999997</v>
      </c>
      <c r="E56">
        <v>43736</v>
      </c>
      <c r="F56">
        <v>6912</v>
      </c>
      <c r="G56">
        <v>-5973</v>
      </c>
      <c r="H56">
        <v>-6.88</v>
      </c>
      <c r="I56">
        <v>6821</v>
      </c>
      <c r="J56">
        <v>67199</v>
      </c>
      <c r="K56">
        <v>1038</v>
      </c>
      <c r="L56">
        <v>-6202</v>
      </c>
      <c r="M56">
        <v>5058</v>
      </c>
      <c r="N56">
        <v>1</v>
      </c>
      <c r="O56">
        <v>0.55859999999999999</v>
      </c>
      <c r="P56">
        <v>-8.7432999999999996</v>
      </c>
      <c r="Q56">
        <v>-0.99460000000000004</v>
      </c>
      <c r="R56">
        <v>-5.5693999999999999</v>
      </c>
      <c r="S56">
        <v>-13.6569</v>
      </c>
      <c r="T56">
        <v>3.2256</v>
      </c>
      <c r="U56">
        <v>-8.6801999999999992</v>
      </c>
      <c r="V56">
        <v>45000</v>
      </c>
      <c r="W56">
        <v>1.2336</v>
      </c>
    </row>
    <row r="57" spans="1:23" x14ac:dyDescent="0.3">
      <c r="A57">
        <v>2019</v>
      </c>
      <c r="B57" t="s">
        <v>28</v>
      </c>
      <c r="C57" t="s">
        <v>29</v>
      </c>
      <c r="D57">
        <v>44.65</v>
      </c>
      <c r="E57">
        <v>49746</v>
      </c>
      <c r="F57">
        <v>11975</v>
      </c>
      <c r="G57">
        <v>3326</v>
      </c>
      <c r="H57">
        <v>3.74</v>
      </c>
      <c r="I57">
        <v>11817</v>
      </c>
      <c r="J57">
        <v>67427</v>
      </c>
      <c r="K57">
        <v>-1807</v>
      </c>
      <c r="L57">
        <v>-5475</v>
      </c>
      <c r="M57">
        <v>7258</v>
      </c>
      <c r="N57">
        <v>1</v>
      </c>
      <c r="O57">
        <v>0.52429999999999999</v>
      </c>
      <c r="P57">
        <v>6.1561000000000003</v>
      </c>
      <c r="Q57">
        <v>0.78490000000000004</v>
      </c>
      <c r="R57">
        <v>4.0096999999999996</v>
      </c>
      <c r="S57">
        <v>6.6859999999999999</v>
      </c>
      <c r="T57">
        <v>-1.5986</v>
      </c>
      <c r="U57">
        <v>6.1117999999999997</v>
      </c>
      <c r="V57">
        <v>46000</v>
      </c>
      <c r="W57">
        <v>1.8122</v>
      </c>
    </row>
    <row r="58" spans="1:23" x14ac:dyDescent="0.3">
      <c r="A58">
        <v>2018</v>
      </c>
      <c r="B58" t="s">
        <v>28</v>
      </c>
      <c r="C58" t="s">
        <v>29</v>
      </c>
      <c r="D58">
        <v>34.86</v>
      </c>
      <c r="E58">
        <v>47389</v>
      </c>
      <c r="F58">
        <v>6921</v>
      </c>
      <c r="G58">
        <v>-6</v>
      </c>
      <c r="H58">
        <v>-0.01</v>
      </c>
      <c r="I58">
        <v>6897</v>
      </c>
      <c r="J58">
        <v>57309</v>
      </c>
      <c r="K58">
        <v>-394</v>
      </c>
      <c r="L58">
        <v>-223</v>
      </c>
      <c r="M58">
        <v>1249</v>
      </c>
      <c r="N58">
        <v>1</v>
      </c>
      <c r="O58">
        <v>0.60270000000000001</v>
      </c>
      <c r="P58">
        <v>0.1797</v>
      </c>
      <c r="Q58">
        <v>2.0899999999999998E-2</v>
      </c>
      <c r="R58">
        <v>0.11210000000000001</v>
      </c>
      <c r="S58">
        <v>-1.2699999999999999E-2</v>
      </c>
      <c r="T58">
        <v>7.9684999999999997</v>
      </c>
      <c r="U58">
        <v>0.1797</v>
      </c>
      <c r="V58">
        <v>49600</v>
      </c>
      <c r="W58">
        <v>2.4426000000000001</v>
      </c>
    </row>
    <row r="59" spans="1:23" x14ac:dyDescent="0.3">
      <c r="A59">
        <v>2017</v>
      </c>
      <c r="B59" t="s">
        <v>28</v>
      </c>
      <c r="C59" t="s">
        <v>29</v>
      </c>
      <c r="D59">
        <v>53.56</v>
      </c>
      <c r="E59">
        <v>49520</v>
      </c>
      <c r="F59">
        <v>6849</v>
      </c>
      <c r="G59">
        <v>-6084</v>
      </c>
      <c r="H59">
        <v>-6.54</v>
      </c>
      <c r="I59">
        <v>6435</v>
      </c>
      <c r="J59">
        <v>65708</v>
      </c>
      <c r="K59">
        <v>-7818</v>
      </c>
      <c r="L59">
        <v>14041</v>
      </c>
      <c r="M59">
        <v>-5697</v>
      </c>
      <c r="N59">
        <v>1</v>
      </c>
      <c r="O59">
        <v>0.48149999999999998</v>
      </c>
      <c r="P59">
        <v>-9.2225999999999999</v>
      </c>
      <c r="Q59">
        <v>-1.2161</v>
      </c>
      <c r="R59">
        <v>-6.2251000000000003</v>
      </c>
      <c r="S59">
        <v>-12.2859</v>
      </c>
      <c r="T59">
        <v>-11.611000000000001</v>
      </c>
      <c r="U59">
        <v>-9.2225999999999999</v>
      </c>
      <c r="V59">
        <v>49800</v>
      </c>
      <c r="W59">
        <v>2.1301000000000001</v>
      </c>
    </row>
    <row r="60" spans="1:23" x14ac:dyDescent="0.3">
      <c r="A60">
        <v>2016</v>
      </c>
      <c r="B60" t="s">
        <v>28</v>
      </c>
      <c r="C60" t="s">
        <v>29</v>
      </c>
      <c r="D60">
        <v>67.08</v>
      </c>
      <c r="E60">
        <v>52367</v>
      </c>
      <c r="F60">
        <v>5236</v>
      </c>
      <c r="G60">
        <v>-849</v>
      </c>
      <c r="H60">
        <v>-0.78</v>
      </c>
      <c r="I60">
        <v>4805</v>
      </c>
      <c r="J60">
        <v>76858</v>
      </c>
      <c r="K60">
        <v>3502</v>
      </c>
      <c r="L60">
        <v>3252</v>
      </c>
      <c r="M60">
        <v>-6833</v>
      </c>
      <c r="N60">
        <v>1</v>
      </c>
      <c r="O60">
        <v>0.4022</v>
      </c>
      <c r="P60">
        <v>-0.33700000000000002</v>
      </c>
      <c r="Q60">
        <v>-5.1999999999999998E-2</v>
      </c>
      <c r="R60">
        <v>-0.24030000000000001</v>
      </c>
      <c r="S60">
        <v>-1.6213</v>
      </c>
      <c r="T60">
        <v>1.0537000000000001</v>
      </c>
      <c r="U60">
        <v>-0.33700000000000002</v>
      </c>
      <c r="V60">
        <v>56400</v>
      </c>
      <c r="W60">
        <v>1.2616000000000001</v>
      </c>
    </row>
    <row r="61" spans="1:23" x14ac:dyDescent="0.3">
      <c r="A61">
        <v>2015</v>
      </c>
      <c r="B61" t="s">
        <v>28</v>
      </c>
      <c r="C61" t="s">
        <v>29</v>
      </c>
      <c r="D61">
        <v>76.66</v>
      </c>
      <c r="E61">
        <v>58327</v>
      </c>
      <c r="F61">
        <v>10565</v>
      </c>
      <c r="G61">
        <v>2196</v>
      </c>
      <c r="H61">
        <v>1.65</v>
      </c>
      <c r="I61">
        <v>9958</v>
      </c>
      <c r="J61">
        <v>90210</v>
      </c>
      <c r="K61">
        <v>2877</v>
      </c>
      <c r="L61">
        <v>8462</v>
      </c>
      <c r="M61">
        <v>-11429</v>
      </c>
      <c r="N61">
        <v>1</v>
      </c>
      <c r="O61">
        <v>0.32419999999999999</v>
      </c>
      <c r="P61">
        <v>2.4630999999999998</v>
      </c>
      <c r="Q61">
        <v>0.44719999999999999</v>
      </c>
      <c r="R61">
        <v>1.8601000000000001</v>
      </c>
      <c r="S61">
        <v>3.7650000000000001</v>
      </c>
      <c r="T61">
        <v>-1.3029999999999999</v>
      </c>
      <c r="U61">
        <v>2.4630999999999998</v>
      </c>
      <c r="V61">
        <v>66400</v>
      </c>
      <c r="W61">
        <v>0.1186</v>
      </c>
    </row>
    <row r="62" spans="1:23" x14ac:dyDescent="0.3">
      <c r="A62">
        <v>2014</v>
      </c>
      <c r="B62" t="s">
        <v>28</v>
      </c>
      <c r="C62" t="s">
        <v>29</v>
      </c>
      <c r="D62">
        <v>78.41</v>
      </c>
      <c r="E62">
        <v>64406</v>
      </c>
      <c r="F62">
        <v>19219</v>
      </c>
      <c r="G62">
        <v>7529</v>
      </c>
      <c r="H62">
        <v>5.2</v>
      </c>
      <c r="I62">
        <v>16752</v>
      </c>
      <c r="J62">
        <v>107272</v>
      </c>
      <c r="K62">
        <v>5007</v>
      </c>
      <c r="L62">
        <v>14284</v>
      </c>
      <c r="M62">
        <v>-19788</v>
      </c>
      <c r="N62">
        <v>1</v>
      </c>
      <c r="O62">
        <v>0.29099999999999998</v>
      </c>
      <c r="P62">
        <v>7.0606</v>
      </c>
      <c r="Q62">
        <v>1.4690000000000001</v>
      </c>
      <c r="R62">
        <v>5.4690000000000003</v>
      </c>
      <c r="S62">
        <v>11.6899</v>
      </c>
      <c r="T62">
        <v>-0.50070000000000003</v>
      </c>
      <c r="U62">
        <v>7.0606</v>
      </c>
      <c r="V62">
        <v>65000</v>
      </c>
      <c r="W62">
        <v>1.6222000000000001</v>
      </c>
    </row>
    <row r="63" spans="1:23" x14ac:dyDescent="0.3">
      <c r="A63">
        <v>2013</v>
      </c>
      <c r="B63" t="s">
        <v>28</v>
      </c>
      <c r="C63" t="s">
        <v>29</v>
      </c>
      <c r="D63">
        <v>75.16</v>
      </c>
      <c r="E63">
        <v>68874</v>
      </c>
      <c r="F63">
        <v>21915</v>
      </c>
      <c r="G63">
        <v>9085</v>
      </c>
      <c r="H63">
        <v>6.13</v>
      </c>
      <c r="I63">
        <v>16922</v>
      </c>
      <c r="J63">
        <v>101081</v>
      </c>
      <c r="K63">
        <v>5865</v>
      </c>
      <c r="L63">
        <v>7099</v>
      </c>
      <c r="M63">
        <v>-11758</v>
      </c>
      <c r="N63">
        <v>1</v>
      </c>
      <c r="O63">
        <v>0.41249999999999998</v>
      </c>
      <c r="P63">
        <v>8.9116999999999997</v>
      </c>
      <c r="Q63">
        <v>1.6640999999999999</v>
      </c>
      <c r="R63">
        <v>6.3093000000000004</v>
      </c>
      <c r="S63">
        <v>13.190799999999999</v>
      </c>
      <c r="T63">
        <v>1.7808999999999999</v>
      </c>
      <c r="U63">
        <v>8.9116999999999997</v>
      </c>
      <c r="V63">
        <v>64000</v>
      </c>
      <c r="W63">
        <v>1.4648000000000001</v>
      </c>
    </row>
    <row r="64" spans="1:23" x14ac:dyDescent="0.3">
      <c r="A64">
        <v>2012</v>
      </c>
      <c r="B64" t="s">
        <v>28</v>
      </c>
      <c r="C64" t="s">
        <v>29</v>
      </c>
      <c r="D64">
        <v>52.11</v>
      </c>
      <c r="E64">
        <v>71214</v>
      </c>
      <c r="F64">
        <v>21825</v>
      </c>
      <c r="G64">
        <v>3438</v>
      </c>
      <c r="H64">
        <v>2.04</v>
      </c>
      <c r="I64">
        <v>19327</v>
      </c>
      <c r="J64">
        <v>98669</v>
      </c>
      <c r="K64">
        <v>3676</v>
      </c>
      <c r="L64">
        <v>16612</v>
      </c>
      <c r="M64">
        <v>-20564</v>
      </c>
      <c r="N64">
        <v>1</v>
      </c>
      <c r="O64">
        <v>0.49149999999999999</v>
      </c>
      <c r="P64">
        <v>3.7488999999999999</v>
      </c>
      <c r="Q64">
        <v>0.67420000000000002</v>
      </c>
      <c r="R64">
        <v>2.5133999999999999</v>
      </c>
      <c r="S64">
        <v>4.8277000000000001</v>
      </c>
      <c r="T64">
        <v>2.2237</v>
      </c>
      <c r="U64">
        <v>3.7488999999999999</v>
      </c>
      <c r="V64">
        <v>63000</v>
      </c>
      <c r="W64">
        <v>2.0693000000000001</v>
      </c>
    </row>
    <row r="65" spans="1:23" x14ac:dyDescent="0.3">
      <c r="A65">
        <v>2011</v>
      </c>
      <c r="B65" t="s">
        <v>28</v>
      </c>
      <c r="C65" t="s">
        <v>29</v>
      </c>
      <c r="D65">
        <v>44.06</v>
      </c>
      <c r="E65">
        <v>65105</v>
      </c>
      <c r="F65">
        <v>18692</v>
      </c>
      <c r="G65">
        <v>19810</v>
      </c>
      <c r="H65">
        <v>11.01</v>
      </c>
      <c r="I65">
        <v>15225</v>
      </c>
      <c r="J65">
        <v>102393</v>
      </c>
      <c r="K65">
        <v>-81</v>
      </c>
      <c r="L65">
        <v>36448</v>
      </c>
      <c r="M65">
        <v>-36926</v>
      </c>
      <c r="N65">
        <v>1</v>
      </c>
      <c r="O65">
        <v>0.7349</v>
      </c>
      <c r="P65">
        <v>18.4222</v>
      </c>
      <c r="Q65">
        <v>3.4106999999999998</v>
      </c>
      <c r="R65">
        <v>10.6183</v>
      </c>
      <c r="S65">
        <v>30.427800000000001</v>
      </c>
      <c r="T65">
        <v>-121.5022</v>
      </c>
      <c r="U65">
        <v>18.4222</v>
      </c>
      <c r="V65">
        <v>57000</v>
      </c>
      <c r="W65">
        <v>3.1568000000000001</v>
      </c>
    </row>
    <row r="66" spans="1:23" x14ac:dyDescent="0.3">
      <c r="A66">
        <v>2010</v>
      </c>
      <c r="B66" t="s">
        <v>28</v>
      </c>
      <c r="C66" t="s">
        <v>29</v>
      </c>
      <c r="D66">
        <v>7.79</v>
      </c>
      <c r="E66">
        <v>72829</v>
      </c>
      <c r="F66">
        <v>16787</v>
      </c>
      <c r="G66">
        <v>2046</v>
      </c>
      <c r="H66">
        <v>14.98</v>
      </c>
      <c r="I66">
        <v>21166</v>
      </c>
      <c r="J66">
        <v>113239</v>
      </c>
      <c r="K66">
        <v>16597</v>
      </c>
      <c r="L66">
        <v>-9912</v>
      </c>
      <c r="M66">
        <v>-9261</v>
      </c>
      <c r="N66">
        <v>1</v>
      </c>
      <c r="O66">
        <v>0.75480000000000003</v>
      </c>
      <c r="P66">
        <v>32.126199999999997</v>
      </c>
      <c r="Q66">
        <v>1.9393</v>
      </c>
      <c r="R66">
        <v>6.6699000000000002</v>
      </c>
      <c r="S66">
        <v>2.8092999999999999</v>
      </c>
      <c r="T66">
        <v>-15.871499999999999</v>
      </c>
      <c r="U66">
        <v>11.704499999999999</v>
      </c>
      <c r="V66">
        <v>63000</v>
      </c>
      <c r="W66">
        <v>1.64</v>
      </c>
    </row>
    <row r="67" spans="1:23" x14ac:dyDescent="0.3">
      <c r="A67">
        <v>2009</v>
      </c>
      <c r="B67" t="s">
        <v>28</v>
      </c>
      <c r="C67" t="s">
        <v>29</v>
      </c>
      <c r="D67">
        <v>4.04</v>
      </c>
      <c r="E67">
        <v>75447</v>
      </c>
      <c r="F67">
        <v>18614</v>
      </c>
      <c r="G67">
        <v>-12244</v>
      </c>
      <c r="H67">
        <v>-90.48</v>
      </c>
      <c r="I67">
        <v>27765</v>
      </c>
      <c r="J67">
        <v>98076</v>
      </c>
      <c r="K67">
        <v>18584</v>
      </c>
      <c r="L67">
        <v>5778</v>
      </c>
      <c r="M67">
        <v>-28997</v>
      </c>
      <c r="N67">
        <v>1</v>
      </c>
      <c r="O67">
        <v>1.1552</v>
      </c>
      <c r="P67">
        <v>-45.306100000000001</v>
      </c>
      <c r="Q67">
        <v>-1.5123</v>
      </c>
      <c r="R67">
        <v>-6.0640999999999998</v>
      </c>
      <c r="S67">
        <v>-16.2286</v>
      </c>
      <c r="T67">
        <v>137.3287</v>
      </c>
      <c r="U67">
        <v>-13.950699999999999</v>
      </c>
      <c r="V67">
        <v>96000</v>
      </c>
      <c r="W67">
        <v>-0.35549999999999998</v>
      </c>
    </row>
    <row r="68" spans="1:23" x14ac:dyDescent="0.3">
      <c r="A68">
        <v>2022</v>
      </c>
      <c r="B68" t="s">
        <v>30</v>
      </c>
      <c r="C68" t="s">
        <v>31</v>
      </c>
      <c r="D68">
        <v>41.28</v>
      </c>
      <c r="E68">
        <v>21680</v>
      </c>
      <c r="F68">
        <v>16824</v>
      </c>
      <c r="G68">
        <v>1800</v>
      </c>
      <c r="H68">
        <v>0.84</v>
      </c>
      <c r="I68">
        <v>5693</v>
      </c>
      <c r="J68">
        <v>23075</v>
      </c>
      <c r="K68">
        <v>3721</v>
      </c>
      <c r="L68">
        <v>-10214</v>
      </c>
      <c r="M68">
        <v>7133</v>
      </c>
      <c r="N68">
        <v>0.81169999999999998</v>
      </c>
      <c r="O68">
        <v>2.2563</v>
      </c>
      <c r="P68">
        <v>7.8613</v>
      </c>
      <c r="Q68">
        <v>1.5288999999999999</v>
      </c>
      <c r="R68">
        <v>2.5615000000000001</v>
      </c>
      <c r="S68">
        <v>8.3026</v>
      </c>
      <c r="T68">
        <v>-1.6E-2</v>
      </c>
      <c r="U68">
        <v>7.8613</v>
      </c>
      <c r="V68">
        <v>26010</v>
      </c>
      <c r="W68">
        <v>8.0028000000000006</v>
      </c>
    </row>
    <row r="69" spans="1:23" x14ac:dyDescent="0.3">
      <c r="A69">
        <v>2021</v>
      </c>
      <c r="B69" t="s">
        <v>30</v>
      </c>
      <c r="C69" t="s">
        <v>31</v>
      </c>
      <c r="D69">
        <v>32.200000000000003</v>
      </c>
      <c r="E69">
        <v>20642</v>
      </c>
      <c r="F69">
        <v>16261</v>
      </c>
      <c r="G69">
        <v>-102</v>
      </c>
      <c r="H69">
        <v>-0.05</v>
      </c>
      <c r="I69">
        <v>5286</v>
      </c>
      <c r="J69">
        <v>21223</v>
      </c>
      <c r="K69">
        <v>2262</v>
      </c>
      <c r="L69">
        <v>-6905</v>
      </c>
      <c r="M69">
        <v>4323</v>
      </c>
      <c r="N69">
        <v>0.63560000000000005</v>
      </c>
      <c r="O69">
        <v>2.1152000000000002</v>
      </c>
      <c r="P69">
        <v>-0.41460000000000002</v>
      </c>
      <c r="Q69">
        <v>-8.5199999999999998E-2</v>
      </c>
      <c r="R69">
        <v>-0.14799999999999999</v>
      </c>
      <c r="S69">
        <v>-0.49409999999999998</v>
      </c>
      <c r="T69">
        <v>18.602499999999999</v>
      </c>
      <c r="U69">
        <v>-0.41460000000000002</v>
      </c>
      <c r="V69">
        <v>26000</v>
      </c>
      <c r="W69">
        <v>4.6978999999999997</v>
      </c>
    </row>
    <row r="70" spans="1:23" x14ac:dyDescent="0.3">
      <c r="A70">
        <v>2020</v>
      </c>
      <c r="B70" t="s">
        <v>30</v>
      </c>
      <c r="C70" t="s">
        <v>31</v>
      </c>
      <c r="D70">
        <v>24.1</v>
      </c>
      <c r="E70">
        <v>18469</v>
      </c>
      <c r="F70">
        <v>14571</v>
      </c>
      <c r="G70">
        <v>-1318</v>
      </c>
      <c r="H70">
        <v>-1.05</v>
      </c>
      <c r="I70">
        <v>5223</v>
      </c>
      <c r="J70">
        <v>21253</v>
      </c>
      <c r="K70">
        <v>-19130</v>
      </c>
      <c r="L70">
        <v>-7748</v>
      </c>
      <c r="M70">
        <v>25928</v>
      </c>
      <c r="N70">
        <v>0.70699999999999996</v>
      </c>
      <c r="O70">
        <v>1.9227000000000001</v>
      </c>
      <c r="P70">
        <v>-6.1356000000000002</v>
      </c>
      <c r="Q70">
        <v>-1.3326</v>
      </c>
      <c r="R70">
        <v>-2.2275</v>
      </c>
      <c r="S70">
        <v>-7.1363000000000003</v>
      </c>
      <c r="T70">
        <v>-18.501300000000001</v>
      </c>
      <c r="U70">
        <v>-6.1356000000000002</v>
      </c>
      <c r="V70">
        <v>24000</v>
      </c>
      <c r="W70">
        <v>1.2336</v>
      </c>
    </row>
    <row r="71" spans="1:23" x14ac:dyDescent="0.3">
      <c r="A71">
        <v>2019</v>
      </c>
      <c r="B71" t="s">
        <v>30</v>
      </c>
      <c r="C71" t="s">
        <v>31</v>
      </c>
      <c r="D71">
        <v>24.73</v>
      </c>
      <c r="E71">
        <v>17129</v>
      </c>
      <c r="F71">
        <v>13300</v>
      </c>
      <c r="G71">
        <v>-7656</v>
      </c>
      <c r="H71">
        <v>-14.5</v>
      </c>
      <c r="I71">
        <v>-6860</v>
      </c>
      <c r="J71">
        <v>5388</v>
      </c>
      <c r="K71">
        <v>4816</v>
      </c>
      <c r="L71">
        <v>-6378</v>
      </c>
      <c r="M71">
        <v>1464</v>
      </c>
      <c r="N71">
        <v>1.3321000000000001</v>
      </c>
      <c r="O71">
        <v>0</v>
      </c>
      <c r="P71">
        <v>-141.83369999999999</v>
      </c>
      <c r="Q71">
        <v>-8.9699000000000009</v>
      </c>
      <c r="R71">
        <v>-141.83369999999999</v>
      </c>
      <c r="S71">
        <v>-44.696100000000001</v>
      </c>
      <c r="T71">
        <v>0.57289999999999996</v>
      </c>
      <c r="U71">
        <v>-141.83369999999999</v>
      </c>
      <c r="V71">
        <v>23000</v>
      </c>
      <c r="W71">
        <v>1.8122</v>
      </c>
    </row>
    <row r="72" spans="1:23" x14ac:dyDescent="0.3">
      <c r="A72">
        <v>2018</v>
      </c>
      <c r="B72" t="s">
        <v>30</v>
      </c>
      <c r="C72" t="s">
        <v>31</v>
      </c>
      <c r="D72">
        <v>5.75</v>
      </c>
      <c r="E72">
        <v>16759</v>
      </c>
      <c r="F72">
        <v>12260</v>
      </c>
      <c r="G72">
        <v>-6851</v>
      </c>
      <c r="H72">
        <v>-13.25</v>
      </c>
      <c r="I72">
        <v>-6664</v>
      </c>
      <c r="J72">
        <v>12903</v>
      </c>
      <c r="K72">
        <v>4752</v>
      </c>
      <c r="L72">
        <v>-6564</v>
      </c>
      <c r="M72">
        <v>3031</v>
      </c>
      <c r="N72">
        <v>0.2205</v>
      </c>
      <c r="O72">
        <v>1.7045999999999999</v>
      </c>
      <c r="P72">
        <v>-52.987699999999997</v>
      </c>
      <c r="Q72">
        <v>-8.8797999999999995</v>
      </c>
      <c r="R72">
        <v>-52.987699999999997</v>
      </c>
      <c r="S72">
        <v>-40.8795</v>
      </c>
      <c r="T72">
        <v>-4.0631000000000004</v>
      </c>
      <c r="U72">
        <v>-52.987699999999997</v>
      </c>
      <c r="V72">
        <v>24000</v>
      </c>
      <c r="W72">
        <v>2.4426000000000001</v>
      </c>
    </row>
    <row r="73" spans="1:23" x14ac:dyDescent="0.3">
      <c r="A73">
        <v>2017</v>
      </c>
      <c r="B73" t="s">
        <v>30</v>
      </c>
      <c r="C73" t="s">
        <v>31</v>
      </c>
      <c r="D73">
        <v>12.32</v>
      </c>
      <c r="E73">
        <v>17135</v>
      </c>
      <c r="F73">
        <v>12080</v>
      </c>
      <c r="G73">
        <v>1646</v>
      </c>
      <c r="H73">
        <v>3.21</v>
      </c>
      <c r="I73">
        <v>5759</v>
      </c>
      <c r="J73">
        <v>19472</v>
      </c>
      <c r="K73">
        <v>5977</v>
      </c>
      <c r="L73">
        <v>-5650</v>
      </c>
      <c r="M73">
        <v>-55</v>
      </c>
      <c r="N73">
        <v>0.88100000000000001</v>
      </c>
      <c r="O73">
        <v>0.98240000000000005</v>
      </c>
      <c r="P73">
        <v>8.5251000000000001</v>
      </c>
      <c r="Q73">
        <v>2.4407000000000001</v>
      </c>
      <c r="R73">
        <v>4.4593999999999996</v>
      </c>
      <c r="S73">
        <v>9.6060999999999996</v>
      </c>
      <c r="T73">
        <v>3.2498</v>
      </c>
      <c r="U73">
        <v>8.5251000000000001</v>
      </c>
      <c r="V73">
        <v>23000</v>
      </c>
      <c r="W73">
        <v>2.1301000000000001</v>
      </c>
    </row>
    <row r="74" spans="1:23" x14ac:dyDescent="0.3">
      <c r="A74">
        <v>2016</v>
      </c>
      <c r="B74" t="s">
        <v>30</v>
      </c>
      <c r="C74" t="s">
        <v>31</v>
      </c>
      <c r="D74">
        <v>23.06</v>
      </c>
      <c r="E74">
        <v>17666</v>
      </c>
      <c r="F74">
        <v>12286</v>
      </c>
      <c r="G74">
        <v>1393</v>
      </c>
      <c r="H74">
        <v>2.78</v>
      </c>
      <c r="I74">
        <v>4835</v>
      </c>
      <c r="J74">
        <v>18192</v>
      </c>
      <c r="K74">
        <v>4409</v>
      </c>
      <c r="L74">
        <v>-5753</v>
      </c>
      <c r="M74">
        <v>1171</v>
      </c>
      <c r="N74">
        <v>0.81489999999999996</v>
      </c>
      <c r="O74">
        <v>1.0134000000000001</v>
      </c>
      <c r="P74">
        <v>7.7342000000000004</v>
      </c>
      <c r="Q74">
        <v>2.0510999999999999</v>
      </c>
      <c r="R74">
        <v>4.0887000000000002</v>
      </c>
      <c r="S74">
        <v>7.8852000000000002</v>
      </c>
      <c r="T74">
        <v>0.2656</v>
      </c>
      <c r="U74">
        <v>7.7342000000000004</v>
      </c>
      <c r="V74">
        <v>24000</v>
      </c>
      <c r="W74">
        <v>1.2616000000000001</v>
      </c>
    </row>
    <row r="75" spans="1:23" x14ac:dyDescent="0.3">
      <c r="A75">
        <v>2015</v>
      </c>
      <c r="B75" t="s">
        <v>30</v>
      </c>
      <c r="C75" t="s">
        <v>31</v>
      </c>
      <c r="D75">
        <v>30.73</v>
      </c>
      <c r="E75">
        <v>16833</v>
      </c>
      <c r="F75">
        <v>11071</v>
      </c>
      <c r="G75">
        <v>874</v>
      </c>
      <c r="H75">
        <v>1.79</v>
      </c>
      <c r="I75">
        <v>4120</v>
      </c>
      <c r="J75">
        <v>16828</v>
      </c>
      <c r="K75">
        <v>3780</v>
      </c>
      <c r="L75">
        <v>-5211</v>
      </c>
      <c r="M75">
        <v>1403</v>
      </c>
      <c r="N75">
        <v>0.91359999999999997</v>
      </c>
      <c r="O75">
        <v>1.0164</v>
      </c>
      <c r="P75">
        <v>5.2769000000000004</v>
      </c>
      <c r="Q75">
        <v>1.4043000000000001</v>
      </c>
      <c r="R75">
        <v>2.7111999999999998</v>
      </c>
      <c r="S75">
        <v>5.1921999999999997</v>
      </c>
      <c r="T75">
        <v>-0.42849999999999999</v>
      </c>
      <c r="U75">
        <v>5.2769000000000004</v>
      </c>
      <c r="V75">
        <v>23000</v>
      </c>
      <c r="W75">
        <v>0.1186</v>
      </c>
    </row>
    <row r="76" spans="1:23" x14ac:dyDescent="0.3">
      <c r="A76">
        <v>2014</v>
      </c>
      <c r="B76" t="s">
        <v>30</v>
      </c>
      <c r="C76" t="s">
        <v>31</v>
      </c>
      <c r="D76">
        <v>26.09</v>
      </c>
      <c r="E76">
        <v>17090</v>
      </c>
      <c r="F76">
        <v>10521</v>
      </c>
      <c r="G76">
        <v>1436</v>
      </c>
      <c r="H76">
        <v>3.06</v>
      </c>
      <c r="I76">
        <v>4883</v>
      </c>
      <c r="J76">
        <v>16000</v>
      </c>
      <c r="K76">
        <v>3690</v>
      </c>
      <c r="L76">
        <v>-4714</v>
      </c>
      <c r="M76">
        <v>879</v>
      </c>
      <c r="N76">
        <v>1.0791999999999999</v>
      </c>
      <c r="O76">
        <v>0.98019999999999996</v>
      </c>
      <c r="P76">
        <v>9.0625</v>
      </c>
      <c r="Q76">
        <v>2.4116</v>
      </c>
      <c r="R76">
        <v>4.6699000000000002</v>
      </c>
      <c r="S76">
        <v>8.4025999999999996</v>
      </c>
      <c r="T76">
        <v>1.5681</v>
      </c>
      <c r="U76">
        <v>9.0625</v>
      </c>
      <c r="V76">
        <v>22581</v>
      </c>
      <c r="W76">
        <v>1.6222000000000001</v>
      </c>
    </row>
    <row r="77" spans="1:23" x14ac:dyDescent="0.3">
      <c r="A77">
        <v>2013</v>
      </c>
      <c r="B77" t="s">
        <v>30</v>
      </c>
      <c r="C77" t="s">
        <v>31</v>
      </c>
      <c r="D77">
        <v>25.29</v>
      </c>
      <c r="E77">
        <v>15598</v>
      </c>
      <c r="F77">
        <v>9614</v>
      </c>
      <c r="G77">
        <v>814</v>
      </c>
      <c r="H77">
        <v>1.83</v>
      </c>
      <c r="I77">
        <v>3839</v>
      </c>
      <c r="J77">
        <v>14594</v>
      </c>
      <c r="K77">
        <v>3427</v>
      </c>
      <c r="L77">
        <v>-5107</v>
      </c>
      <c r="M77">
        <v>1575</v>
      </c>
      <c r="N77">
        <v>0.79769999999999996</v>
      </c>
      <c r="O77">
        <v>1.0126999999999999</v>
      </c>
      <c r="P77">
        <v>5.6736000000000004</v>
      </c>
      <c r="Q77">
        <v>1.4891000000000001</v>
      </c>
      <c r="R77">
        <v>3.0316999999999998</v>
      </c>
      <c r="S77">
        <v>5.2186000000000003</v>
      </c>
      <c r="T77">
        <v>-4.6071</v>
      </c>
      <c r="U77">
        <v>5.6736000000000004</v>
      </c>
      <c r="V77">
        <v>21166</v>
      </c>
      <c r="W77">
        <v>1.4648000000000001</v>
      </c>
    </row>
    <row r="78" spans="1:23" x14ac:dyDescent="0.3">
      <c r="A78">
        <v>2012</v>
      </c>
      <c r="B78" t="s">
        <v>30</v>
      </c>
      <c r="C78" t="s">
        <v>31</v>
      </c>
      <c r="D78">
        <v>18.100000000000001</v>
      </c>
      <c r="E78">
        <v>15040</v>
      </c>
      <c r="F78">
        <v>10017</v>
      </c>
      <c r="G78">
        <v>816</v>
      </c>
      <c r="H78">
        <v>1.92</v>
      </c>
      <c r="I78">
        <v>3965</v>
      </c>
      <c r="J78">
        <v>13326</v>
      </c>
      <c r="K78">
        <v>4882</v>
      </c>
      <c r="L78">
        <v>-4526</v>
      </c>
      <c r="M78">
        <v>-468</v>
      </c>
      <c r="N78">
        <v>0.81859999999999999</v>
      </c>
      <c r="O78">
        <v>1.0062</v>
      </c>
      <c r="P78">
        <v>6.2283999999999997</v>
      </c>
      <c r="Q78">
        <v>1.5825</v>
      </c>
      <c r="R78">
        <v>3.2117</v>
      </c>
      <c r="S78">
        <v>5.4255000000000004</v>
      </c>
      <c r="T78">
        <v>1.3509</v>
      </c>
      <c r="U78">
        <v>6.2283999999999997</v>
      </c>
      <c r="V78">
        <v>20593</v>
      </c>
      <c r="W78">
        <v>2.0693000000000001</v>
      </c>
    </row>
    <row r="79" spans="1:23" x14ac:dyDescent="0.3">
      <c r="A79">
        <v>2011</v>
      </c>
      <c r="B79" t="s">
        <v>30</v>
      </c>
      <c r="C79" t="s">
        <v>31</v>
      </c>
      <c r="D79">
        <v>17.14</v>
      </c>
      <c r="E79">
        <v>14956</v>
      </c>
      <c r="F79">
        <v>9623</v>
      </c>
      <c r="G79">
        <v>844</v>
      </c>
      <c r="H79">
        <v>2.1</v>
      </c>
      <c r="I79">
        <v>4157</v>
      </c>
      <c r="J79">
        <v>12353</v>
      </c>
      <c r="K79">
        <v>3739</v>
      </c>
      <c r="L79">
        <v>-3986</v>
      </c>
      <c r="M79">
        <v>469</v>
      </c>
      <c r="N79">
        <v>0.83620000000000005</v>
      </c>
      <c r="O79">
        <v>1.1241000000000001</v>
      </c>
      <c r="P79">
        <v>6.9457000000000004</v>
      </c>
      <c r="Q79">
        <v>1.7245999999999999</v>
      </c>
      <c r="R79">
        <v>3.5573999999999999</v>
      </c>
      <c r="S79">
        <v>5.6432000000000002</v>
      </c>
      <c r="T79">
        <v>0.77659999999999996</v>
      </c>
      <c r="U79">
        <v>6.9457000000000004</v>
      </c>
      <c r="V79">
        <v>19274</v>
      </c>
      <c r="W79">
        <v>3.1568000000000001</v>
      </c>
    </row>
    <row r="80" spans="1:23" x14ac:dyDescent="0.3">
      <c r="A80">
        <v>2010</v>
      </c>
      <c r="B80" t="s">
        <v>30</v>
      </c>
      <c r="C80" t="s">
        <v>31</v>
      </c>
      <c r="D80">
        <v>16.73</v>
      </c>
      <c r="E80">
        <v>13841</v>
      </c>
      <c r="F80">
        <v>8652</v>
      </c>
      <c r="G80">
        <v>1099</v>
      </c>
      <c r="H80">
        <v>2.82</v>
      </c>
      <c r="I80">
        <v>4213</v>
      </c>
      <c r="J80">
        <v>11534</v>
      </c>
      <c r="K80">
        <v>3206</v>
      </c>
      <c r="L80">
        <v>-3857</v>
      </c>
      <c r="M80">
        <v>415</v>
      </c>
      <c r="N80">
        <v>0.77129999999999999</v>
      </c>
      <c r="O80">
        <v>1.1613</v>
      </c>
      <c r="P80">
        <v>9.6496999999999993</v>
      </c>
      <c r="Q80">
        <v>2.4182999999999999</v>
      </c>
      <c r="R80">
        <v>4.8681000000000001</v>
      </c>
      <c r="S80">
        <v>7.9401999999999999</v>
      </c>
      <c r="T80">
        <v>0.86040000000000005</v>
      </c>
      <c r="U80">
        <v>9.6496999999999993</v>
      </c>
      <c r="V80">
        <v>19424</v>
      </c>
      <c r="W80">
        <v>1.64</v>
      </c>
    </row>
    <row r="81" spans="1:23" x14ac:dyDescent="0.3">
      <c r="A81">
        <v>2009</v>
      </c>
      <c r="B81" t="s">
        <v>30</v>
      </c>
      <c r="C81" t="s">
        <v>31</v>
      </c>
      <c r="D81">
        <v>18.760000000000002</v>
      </c>
      <c r="E81">
        <v>13399</v>
      </c>
      <c r="F81">
        <v>8397</v>
      </c>
      <c r="G81">
        <v>1220</v>
      </c>
      <c r="H81">
        <v>3.2</v>
      </c>
      <c r="I81">
        <v>4051</v>
      </c>
      <c r="J81">
        <v>10585</v>
      </c>
      <c r="K81">
        <v>3039</v>
      </c>
      <c r="L81">
        <v>-3336</v>
      </c>
      <c r="M81">
        <v>605</v>
      </c>
      <c r="N81">
        <v>0.83030000000000004</v>
      </c>
      <c r="O81">
        <v>1.2062999999999999</v>
      </c>
      <c r="P81">
        <v>11.657999999999999</v>
      </c>
      <c r="Q81">
        <v>2.8734000000000002</v>
      </c>
      <c r="R81">
        <v>5.6623999999999999</v>
      </c>
      <c r="S81">
        <v>9.1052</v>
      </c>
      <c r="T81">
        <v>-2.3807999999999998</v>
      </c>
      <c r="U81">
        <v>11.657999999999999</v>
      </c>
      <c r="V81">
        <v>19425</v>
      </c>
      <c r="W81">
        <v>-0.35549999999999998</v>
      </c>
    </row>
    <row r="82" spans="1:23" x14ac:dyDescent="0.3">
      <c r="A82">
        <v>2018</v>
      </c>
      <c r="B82" t="s">
        <v>32</v>
      </c>
      <c r="C82" t="s">
        <v>33</v>
      </c>
      <c r="D82">
        <v>0.04</v>
      </c>
      <c r="E82">
        <v>16702</v>
      </c>
      <c r="F82">
        <v>3527</v>
      </c>
      <c r="G82">
        <v>-383</v>
      </c>
      <c r="H82">
        <v>-3.57</v>
      </c>
      <c r="I82">
        <v>-52</v>
      </c>
      <c r="J82">
        <v>-3723</v>
      </c>
      <c r="K82">
        <v>-1842</v>
      </c>
      <c r="L82">
        <v>1894</v>
      </c>
      <c r="M82">
        <v>-2</v>
      </c>
      <c r="N82">
        <v>0.77559999999999996</v>
      </c>
      <c r="O82">
        <v>-1.1099000000000001</v>
      </c>
      <c r="P82">
        <v>10.2874</v>
      </c>
      <c r="Q82">
        <v>-5.274</v>
      </c>
      <c r="R82">
        <v>25.983699999999999</v>
      </c>
      <c r="S82">
        <v>-2.2930999999999999</v>
      </c>
      <c r="T82">
        <v>3.0663</v>
      </c>
      <c r="U82">
        <v>7.4225000000000003</v>
      </c>
      <c r="V82">
        <v>89900</v>
      </c>
      <c r="W82">
        <v>2.4426000000000001</v>
      </c>
    </row>
    <row r="83" spans="1:23" x14ac:dyDescent="0.3">
      <c r="A83">
        <v>2017</v>
      </c>
      <c r="B83" t="s">
        <v>32</v>
      </c>
      <c r="C83" t="s">
        <v>33</v>
      </c>
      <c r="D83">
        <v>0.37</v>
      </c>
      <c r="E83">
        <v>22138</v>
      </c>
      <c r="F83">
        <v>4686</v>
      </c>
      <c r="G83">
        <v>-2221</v>
      </c>
      <c r="H83">
        <v>-20.78</v>
      </c>
      <c r="I83">
        <v>-1610</v>
      </c>
      <c r="J83">
        <v>-3824</v>
      </c>
      <c r="K83">
        <v>-1381</v>
      </c>
      <c r="L83">
        <v>244</v>
      </c>
      <c r="M83">
        <v>1185</v>
      </c>
      <c r="N83">
        <v>1.0672999999999999</v>
      </c>
      <c r="O83">
        <v>-1.0887</v>
      </c>
      <c r="P83">
        <v>58.080500000000001</v>
      </c>
      <c r="Q83">
        <v>-23.723600000000001</v>
      </c>
      <c r="R83">
        <v>884.8605</v>
      </c>
      <c r="S83">
        <v>-10.032500000000001</v>
      </c>
      <c r="T83">
        <v>-13.9382</v>
      </c>
      <c r="U83">
        <v>39.561799999999998</v>
      </c>
      <c r="V83">
        <v>140000</v>
      </c>
      <c r="W83">
        <v>2.1301000000000001</v>
      </c>
    </row>
    <row r="84" spans="1:23" x14ac:dyDescent="0.3">
      <c r="A84">
        <v>2016</v>
      </c>
      <c r="B84" t="s">
        <v>32</v>
      </c>
      <c r="C84" t="s">
        <v>33</v>
      </c>
      <c r="D84">
        <v>1.1100000000000001</v>
      </c>
      <c r="E84">
        <v>25146</v>
      </c>
      <c r="F84">
        <v>5810</v>
      </c>
      <c r="G84">
        <v>-1129</v>
      </c>
      <c r="H84">
        <v>-10.59</v>
      </c>
      <c r="I84">
        <v>-570</v>
      </c>
      <c r="J84">
        <v>-1956</v>
      </c>
      <c r="K84">
        <v>-2167</v>
      </c>
      <c r="L84">
        <v>2519</v>
      </c>
      <c r="M84">
        <v>-364</v>
      </c>
      <c r="N84">
        <v>1.1115999999999999</v>
      </c>
      <c r="O84">
        <v>-1.5215000000000001</v>
      </c>
      <c r="P84">
        <v>57.668700000000001</v>
      </c>
      <c r="Q84">
        <v>-9.9497</v>
      </c>
      <c r="R84">
        <v>-742.10519999999997</v>
      </c>
      <c r="S84">
        <v>-4.4897999999999998</v>
      </c>
      <c r="T84">
        <v>14.901400000000001</v>
      </c>
      <c r="U84">
        <v>27.285900000000002</v>
      </c>
      <c r="V84">
        <v>178000</v>
      </c>
      <c r="W84">
        <v>1.2616000000000001</v>
      </c>
    </row>
    <row r="85" spans="1:23" x14ac:dyDescent="0.3">
      <c r="A85">
        <v>2015</v>
      </c>
      <c r="B85" t="s">
        <v>32</v>
      </c>
      <c r="C85" t="s">
        <v>33</v>
      </c>
      <c r="D85">
        <v>2.19</v>
      </c>
      <c r="E85">
        <v>31198</v>
      </c>
      <c r="F85">
        <v>7149</v>
      </c>
      <c r="G85">
        <v>-1682</v>
      </c>
      <c r="H85">
        <v>-15.82</v>
      </c>
      <c r="I85">
        <v>-889</v>
      </c>
      <c r="J85">
        <v>-945</v>
      </c>
      <c r="K85">
        <v>-1387</v>
      </c>
      <c r="L85">
        <v>327</v>
      </c>
      <c r="M85">
        <v>285</v>
      </c>
      <c r="N85">
        <v>1.0479000000000001</v>
      </c>
      <c r="O85">
        <v>-3.9958</v>
      </c>
      <c r="P85">
        <v>191.53440000000001</v>
      </c>
      <c r="Q85">
        <v>-13.7277</v>
      </c>
      <c r="R85">
        <v>-84.500500000000002</v>
      </c>
      <c r="S85">
        <v>-5.3914</v>
      </c>
      <c r="T85">
        <v>-7.4240000000000004</v>
      </c>
      <c r="U85">
        <v>54.6663</v>
      </c>
      <c r="V85">
        <v>196000</v>
      </c>
      <c r="W85">
        <v>0.1186</v>
      </c>
    </row>
    <row r="86" spans="1:23" x14ac:dyDescent="0.3">
      <c r="A86">
        <v>2014</v>
      </c>
      <c r="B86" t="s">
        <v>32</v>
      </c>
      <c r="C86" t="s">
        <v>33</v>
      </c>
      <c r="D86">
        <v>3.51</v>
      </c>
      <c r="E86">
        <v>36188</v>
      </c>
      <c r="F86">
        <v>8755</v>
      </c>
      <c r="G86">
        <v>-1365</v>
      </c>
      <c r="H86">
        <v>-12.87</v>
      </c>
      <c r="I86">
        <v>-195</v>
      </c>
      <c r="J86">
        <v>2183</v>
      </c>
      <c r="K86">
        <v>-1109</v>
      </c>
      <c r="L86">
        <v>664</v>
      </c>
      <c r="M86">
        <v>902</v>
      </c>
      <c r="N86">
        <v>1.0946</v>
      </c>
      <c r="O86">
        <v>1.9463999999999999</v>
      </c>
      <c r="P86">
        <v>-51.122300000000003</v>
      </c>
      <c r="Q86">
        <v>-6.1113999999999997</v>
      </c>
      <c r="R86">
        <v>-22.244399999999999</v>
      </c>
      <c r="S86">
        <v>-3.7719999999999998</v>
      </c>
      <c r="T86">
        <v>-2.7683</v>
      </c>
      <c r="U86">
        <v>106.6922</v>
      </c>
      <c r="V86">
        <v>226000</v>
      </c>
      <c r="W86">
        <v>1.6222000000000001</v>
      </c>
    </row>
    <row r="87" spans="1:23" x14ac:dyDescent="0.3">
      <c r="A87">
        <v>2013</v>
      </c>
      <c r="B87" t="s">
        <v>32</v>
      </c>
      <c r="C87" t="s">
        <v>33</v>
      </c>
      <c r="D87">
        <v>4.9000000000000004</v>
      </c>
      <c r="E87">
        <v>39854</v>
      </c>
      <c r="F87">
        <v>10514</v>
      </c>
      <c r="G87">
        <v>-930</v>
      </c>
      <c r="H87">
        <v>-8.7799999999999994</v>
      </c>
      <c r="I87">
        <v>-8</v>
      </c>
      <c r="J87">
        <v>3172</v>
      </c>
      <c r="K87">
        <v>-303</v>
      </c>
      <c r="L87">
        <v>191</v>
      </c>
      <c r="M87">
        <v>-27</v>
      </c>
      <c r="N87">
        <v>1.1011</v>
      </c>
      <c r="O87">
        <v>0.98360000000000003</v>
      </c>
      <c r="P87">
        <v>-33.228299999999997</v>
      </c>
      <c r="Q87">
        <v>-5.4497999999999998</v>
      </c>
      <c r="R87">
        <v>-20.606100000000001</v>
      </c>
      <c r="S87">
        <v>-2.3334999999999999</v>
      </c>
      <c r="T87">
        <v>4.5387000000000004</v>
      </c>
      <c r="U87">
        <v>1197.7270000000001</v>
      </c>
      <c r="V87">
        <v>246000</v>
      </c>
      <c r="W87">
        <v>1.4648000000000001</v>
      </c>
    </row>
    <row r="88" spans="1:23" x14ac:dyDescent="0.3">
      <c r="A88">
        <v>2012</v>
      </c>
      <c r="B88" t="s">
        <v>32</v>
      </c>
      <c r="C88" t="s">
        <v>33</v>
      </c>
      <c r="D88">
        <v>4.47</v>
      </c>
      <c r="E88">
        <v>41567</v>
      </c>
      <c r="F88">
        <v>10601</v>
      </c>
      <c r="G88">
        <v>-3140</v>
      </c>
      <c r="H88">
        <v>-29.4</v>
      </c>
      <c r="I88">
        <v>-648</v>
      </c>
      <c r="J88">
        <v>4341</v>
      </c>
      <c r="K88">
        <v>-275</v>
      </c>
      <c r="L88">
        <v>-309</v>
      </c>
      <c r="M88">
        <v>-28</v>
      </c>
      <c r="N88">
        <v>1.1120000000000001</v>
      </c>
      <c r="O88">
        <v>0.80469999999999997</v>
      </c>
      <c r="P88">
        <v>-71.872799999999998</v>
      </c>
      <c r="Q88">
        <v>-14.5924</v>
      </c>
      <c r="R88">
        <v>-48.530099999999997</v>
      </c>
      <c r="S88">
        <v>-7.5541</v>
      </c>
      <c r="T88">
        <v>-3.5464000000000002</v>
      </c>
      <c r="U88">
        <v>-554.17409999999995</v>
      </c>
      <c r="V88">
        <v>264000</v>
      </c>
      <c r="W88">
        <v>2.0693000000000001</v>
      </c>
    </row>
    <row r="89" spans="1:23" x14ac:dyDescent="0.3">
      <c r="A89">
        <v>2011</v>
      </c>
      <c r="B89" t="s">
        <v>32</v>
      </c>
      <c r="C89" t="s">
        <v>33</v>
      </c>
      <c r="D89">
        <v>3.39</v>
      </c>
      <c r="E89">
        <v>42664</v>
      </c>
      <c r="F89">
        <v>11664</v>
      </c>
      <c r="G89">
        <v>133</v>
      </c>
      <c r="H89">
        <v>1.19</v>
      </c>
      <c r="I89">
        <v>1306</v>
      </c>
      <c r="J89">
        <v>8614</v>
      </c>
      <c r="K89">
        <v>123</v>
      </c>
      <c r="L89">
        <v>-406</v>
      </c>
      <c r="M89">
        <v>-95</v>
      </c>
      <c r="N89">
        <v>1.3374999999999999</v>
      </c>
      <c r="O89">
        <v>0.37069999999999997</v>
      </c>
      <c r="P89">
        <v>1.6136999999999999</v>
      </c>
      <c r="Q89">
        <v>0.5706</v>
      </c>
      <c r="R89">
        <v>1.2685</v>
      </c>
      <c r="S89">
        <v>0.31169999999999998</v>
      </c>
      <c r="T89">
        <v>-12.4078</v>
      </c>
      <c r="U89">
        <v>3.2867999999999999</v>
      </c>
      <c r="V89">
        <v>280000</v>
      </c>
      <c r="W89">
        <v>3.1568000000000001</v>
      </c>
    </row>
    <row r="90" spans="1:23" x14ac:dyDescent="0.3">
      <c r="A90">
        <v>2010</v>
      </c>
      <c r="B90" t="s">
        <v>32</v>
      </c>
      <c r="C90" t="s">
        <v>33</v>
      </c>
      <c r="D90">
        <v>8.2200000000000006</v>
      </c>
      <c r="E90">
        <v>43360</v>
      </c>
      <c r="F90">
        <v>11986</v>
      </c>
      <c r="G90">
        <v>235</v>
      </c>
      <c r="H90">
        <v>1.99</v>
      </c>
      <c r="I90">
        <v>1561</v>
      </c>
      <c r="J90">
        <v>9435</v>
      </c>
      <c r="K90">
        <v>1507</v>
      </c>
      <c r="L90">
        <v>-172</v>
      </c>
      <c r="M90">
        <v>-951</v>
      </c>
      <c r="N90">
        <v>1.3018000000000001</v>
      </c>
      <c r="O90">
        <v>0.26550000000000001</v>
      </c>
      <c r="P90">
        <v>2.9676999999999998</v>
      </c>
      <c r="Q90">
        <v>1.1287</v>
      </c>
      <c r="R90">
        <v>2.5150000000000001</v>
      </c>
      <c r="S90">
        <v>0.54200000000000004</v>
      </c>
      <c r="T90">
        <v>5.4337</v>
      </c>
      <c r="U90">
        <v>5.7911000000000001</v>
      </c>
      <c r="V90">
        <v>290000</v>
      </c>
      <c r="W90">
        <v>1.64</v>
      </c>
    </row>
    <row r="91" spans="1:23" x14ac:dyDescent="0.3">
      <c r="A91">
        <v>2009</v>
      </c>
      <c r="B91" t="s">
        <v>32</v>
      </c>
      <c r="C91" t="s">
        <v>33</v>
      </c>
      <c r="D91">
        <v>8.98</v>
      </c>
      <c r="E91">
        <v>46770</v>
      </c>
      <c r="F91">
        <v>12652</v>
      </c>
      <c r="G91">
        <v>53</v>
      </c>
      <c r="H91">
        <v>0.42</v>
      </c>
      <c r="I91">
        <v>1283</v>
      </c>
      <c r="J91">
        <v>9699</v>
      </c>
      <c r="K91">
        <v>992</v>
      </c>
      <c r="L91">
        <v>-637</v>
      </c>
      <c r="M91">
        <v>-643</v>
      </c>
      <c r="N91">
        <v>1.3411999999999999</v>
      </c>
      <c r="O91">
        <v>0.30099999999999999</v>
      </c>
      <c r="P91">
        <v>1.0206999999999999</v>
      </c>
      <c r="Q91">
        <v>0.39069999999999999</v>
      </c>
      <c r="R91">
        <v>0.83679999999999999</v>
      </c>
      <c r="S91">
        <v>0.1133</v>
      </c>
      <c r="T91">
        <v>4.5747999999999998</v>
      </c>
      <c r="U91">
        <v>1.9704999999999999</v>
      </c>
      <c r="V91">
        <v>291000</v>
      </c>
      <c r="W91">
        <v>-0.35549999999999998</v>
      </c>
    </row>
    <row r="92" spans="1:23" x14ac:dyDescent="0.3">
      <c r="A92">
        <v>2022</v>
      </c>
      <c r="B92" t="s">
        <v>34</v>
      </c>
      <c r="C92" t="s">
        <v>35</v>
      </c>
      <c r="D92">
        <v>186.39</v>
      </c>
      <c r="E92">
        <v>23182.6</v>
      </c>
      <c r="F92">
        <v>13207.2</v>
      </c>
      <c r="G92">
        <v>6177.4</v>
      </c>
      <c r="H92">
        <v>8.33</v>
      </c>
      <c r="I92">
        <v>11241.6</v>
      </c>
      <c r="J92">
        <v>-6003.4</v>
      </c>
      <c r="K92">
        <v>7386.7</v>
      </c>
      <c r="L92">
        <v>-2678.1</v>
      </c>
      <c r="M92">
        <v>-6580.2</v>
      </c>
      <c r="N92">
        <v>1.4266000000000001</v>
      </c>
      <c r="O92">
        <v>-5.9805000000000001</v>
      </c>
      <c r="P92">
        <v>-102.89830000000001</v>
      </c>
      <c r="Q92">
        <v>12.248100000000001</v>
      </c>
      <c r="R92">
        <v>20.6601</v>
      </c>
      <c r="S92">
        <v>26.646699999999999</v>
      </c>
      <c r="T92">
        <v>-2.1322999999999999</v>
      </c>
      <c r="U92">
        <v>-69.379400000000004</v>
      </c>
      <c r="V92">
        <v>150000</v>
      </c>
      <c r="W92">
        <v>8.0028000000000006</v>
      </c>
    </row>
    <row r="93" spans="1:23" x14ac:dyDescent="0.3">
      <c r="A93">
        <v>2021</v>
      </c>
      <c r="B93" t="s">
        <v>34</v>
      </c>
      <c r="C93" t="s">
        <v>35</v>
      </c>
      <c r="D93">
        <v>193.02</v>
      </c>
      <c r="E93">
        <v>23222.9</v>
      </c>
      <c r="F93">
        <v>12580.2</v>
      </c>
      <c r="G93">
        <v>7545.2</v>
      </c>
      <c r="H93">
        <v>10.039999999999999</v>
      </c>
      <c r="I93">
        <v>12224.1</v>
      </c>
      <c r="J93">
        <v>-4601</v>
      </c>
      <c r="K93">
        <v>9141.5</v>
      </c>
      <c r="L93">
        <v>-2165.6999999999998</v>
      </c>
      <c r="M93">
        <v>-5595.6</v>
      </c>
      <c r="N93">
        <v>1.7782</v>
      </c>
      <c r="O93">
        <v>-7.7423999999999999</v>
      </c>
      <c r="P93">
        <v>-163.99029999999999</v>
      </c>
      <c r="Q93">
        <v>14.010400000000001</v>
      </c>
      <c r="R93">
        <v>24.322299999999998</v>
      </c>
      <c r="S93">
        <v>32.490299999999998</v>
      </c>
      <c r="T93">
        <v>3.3856999999999999</v>
      </c>
      <c r="U93">
        <v>-102.19</v>
      </c>
      <c r="V93">
        <v>200000</v>
      </c>
      <c r="W93">
        <v>4.6978999999999997</v>
      </c>
    </row>
    <row r="94" spans="1:23" x14ac:dyDescent="0.3">
      <c r="A94">
        <v>2020</v>
      </c>
      <c r="B94" t="s">
        <v>34</v>
      </c>
      <c r="C94" t="s">
        <v>35</v>
      </c>
      <c r="D94">
        <v>200.31</v>
      </c>
      <c r="E94">
        <v>19207.8</v>
      </c>
      <c r="F94">
        <v>9752.1010000000006</v>
      </c>
      <c r="G94">
        <v>4730.5</v>
      </c>
      <c r="H94">
        <v>6.31</v>
      </c>
      <c r="I94">
        <v>9075.4</v>
      </c>
      <c r="J94">
        <v>-7824.9</v>
      </c>
      <c r="K94">
        <v>6265.2</v>
      </c>
      <c r="L94">
        <v>-1545.8</v>
      </c>
      <c r="M94">
        <v>-2249</v>
      </c>
      <c r="N94">
        <v>1.01</v>
      </c>
      <c r="O94">
        <v>-4.7847999999999997</v>
      </c>
      <c r="P94">
        <v>-60.454500000000003</v>
      </c>
      <c r="Q94">
        <v>8.9887999999999995</v>
      </c>
      <c r="R94">
        <v>17.282299999999999</v>
      </c>
      <c r="S94">
        <v>24.628</v>
      </c>
      <c r="T94">
        <v>-1.4852000000000001</v>
      </c>
      <c r="U94">
        <v>-44.635800000000003</v>
      </c>
      <c r="V94">
        <v>200000</v>
      </c>
      <c r="W94">
        <v>1.2336</v>
      </c>
    </row>
    <row r="95" spans="1:23" x14ac:dyDescent="0.3">
      <c r="A95">
        <v>2019</v>
      </c>
      <c r="B95" t="s">
        <v>34</v>
      </c>
      <c r="C95" t="s">
        <v>35</v>
      </c>
      <c r="D95">
        <v>159.88999999999999</v>
      </c>
      <c r="E95">
        <v>21364.400000000001</v>
      </c>
      <c r="F95">
        <v>11179.4</v>
      </c>
      <c r="G95">
        <v>6025.4</v>
      </c>
      <c r="H95">
        <v>7.88</v>
      </c>
      <c r="I95">
        <v>10687.7</v>
      </c>
      <c r="J95">
        <v>-8210.2999999999993</v>
      </c>
      <c r="K95">
        <v>8122.1</v>
      </c>
      <c r="L95">
        <v>-3071.1</v>
      </c>
      <c r="M95">
        <v>-4994.8</v>
      </c>
      <c r="N95">
        <v>0.98260000000000003</v>
      </c>
      <c r="O95">
        <v>-4.1627000000000001</v>
      </c>
      <c r="P95">
        <v>-73.388300000000001</v>
      </c>
      <c r="Q95">
        <v>12.6822</v>
      </c>
      <c r="R95">
        <v>23.257100000000001</v>
      </c>
      <c r="S95">
        <v>28.202999999999999</v>
      </c>
      <c r="T95">
        <v>2.1046</v>
      </c>
      <c r="U95">
        <v>-55.3414</v>
      </c>
      <c r="V95">
        <v>205000</v>
      </c>
      <c r="W95">
        <v>1.8122</v>
      </c>
    </row>
    <row r="96" spans="1:23" x14ac:dyDescent="0.3">
      <c r="A96">
        <v>2018</v>
      </c>
      <c r="B96" t="s">
        <v>34</v>
      </c>
      <c r="C96" t="s">
        <v>35</v>
      </c>
      <c r="D96">
        <v>148.82</v>
      </c>
      <c r="E96">
        <v>21257.9</v>
      </c>
      <c r="F96">
        <v>10832.6</v>
      </c>
      <c r="G96">
        <v>5924.3</v>
      </c>
      <c r="H96">
        <v>7.54</v>
      </c>
      <c r="I96">
        <v>10304.6</v>
      </c>
      <c r="J96">
        <v>-6258.4</v>
      </c>
      <c r="K96">
        <v>6966.7</v>
      </c>
      <c r="L96">
        <v>-2455.1</v>
      </c>
      <c r="M96">
        <v>-5949.6</v>
      </c>
      <c r="N96">
        <v>1.3631</v>
      </c>
      <c r="O96">
        <v>-4.9653999999999998</v>
      </c>
      <c r="P96">
        <v>-94.661600000000007</v>
      </c>
      <c r="Q96">
        <v>18.055700000000002</v>
      </c>
      <c r="R96">
        <v>23.872</v>
      </c>
      <c r="S96">
        <v>27.8687</v>
      </c>
      <c r="T96">
        <v>0.84360000000000002</v>
      </c>
      <c r="U96">
        <v>-68.968199999999996</v>
      </c>
      <c r="V96">
        <v>210000</v>
      </c>
      <c r="W96">
        <v>2.4426000000000001</v>
      </c>
    </row>
    <row r="97" spans="1:23" x14ac:dyDescent="0.3">
      <c r="A97">
        <v>2017</v>
      </c>
      <c r="B97" t="s">
        <v>34</v>
      </c>
      <c r="C97" t="s">
        <v>35</v>
      </c>
      <c r="D97">
        <v>136.88999999999999</v>
      </c>
      <c r="E97">
        <v>22820.400000000001</v>
      </c>
      <c r="F97">
        <v>10620.8</v>
      </c>
      <c r="G97">
        <v>5192.3</v>
      </c>
      <c r="H97">
        <v>6.37</v>
      </c>
      <c r="I97">
        <v>10916.1</v>
      </c>
      <c r="J97">
        <v>-3268</v>
      </c>
      <c r="K97">
        <v>5551.2</v>
      </c>
      <c r="L97">
        <v>562</v>
      </c>
      <c r="M97">
        <v>-5310.8</v>
      </c>
      <c r="N97">
        <v>1.8429</v>
      </c>
      <c r="O97">
        <v>-9.0381</v>
      </c>
      <c r="P97">
        <v>-158.88319999999999</v>
      </c>
      <c r="Q97">
        <v>15.360200000000001</v>
      </c>
      <c r="R97">
        <v>19.766300000000001</v>
      </c>
      <c r="S97">
        <v>22.7529</v>
      </c>
      <c r="T97">
        <v>-0.27929999999999999</v>
      </c>
      <c r="U97">
        <v>-91.936499999999995</v>
      </c>
      <c r="V97">
        <v>235000</v>
      </c>
      <c r="W97">
        <v>2.1301000000000001</v>
      </c>
    </row>
    <row r="98" spans="1:23" x14ac:dyDescent="0.3">
      <c r="A98">
        <v>2016</v>
      </c>
      <c r="B98" t="s">
        <v>34</v>
      </c>
      <c r="C98" t="s">
        <v>35</v>
      </c>
      <c r="D98">
        <v>137.21</v>
      </c>
      <c r="E98">
        <v>24621.9</v>
      </c>
      <c r="F98">
        <v>10204.700000000001</v>
      </c>
      <c r="G98">
        <v>4686.5</v>
      </c>
      <c r="H98">
        <v>5.44</v>
      </c>
      <c r="I98">
        <v>9261.0020000000004</v>
      </c>
      <c r="J98">
        <v>-2204.3000000000002</v>
      </c>
      <c r="K98">
        <v>6059.6</v>
      </c>
      <c r="L98">
        <v>-981.6</v>
      </c>
      <c r="M98">
        <v>-11262.4</v>
      </c>
      <c r="N98">
        <v>1.3979999999999999</v>
      </c>
      <c r="O98">
        <v>-11.775</v>
      </c>
      <c r="P98">
        <v>-212.6069</v>
      </c>
      <c r="Q98">
        <v>15.1061</v>
      </c>
      <c r="R98">
        <v>19.7958</v>
      </c>
      <c r="S98">
        <v>19.033899999999999</v>
      </c>
      <c r="T98">
        <v>-0.21</v>
      </c>
      <c r="U98">
        <v>-103.20869999999999</v>
      </c>
      <c r="V98">
        <v>375000</v>
      </c>
      <c r="W98">
        <v>1.2616000000000001</v>
      </c>
    </row>
    <row r="99" spans="1:23" x14ac:dyDescent="0.3">
      <c r="A99">
        <v>2015</v>
      </c>
      <c r="B99" t="s">
        <v>34</v>
      </c>
      <c r="C99" t="s">
        <v>35</v>
      </c>
      <c r="D99">
        <v>101.08</v>
      </c>
      <c r="E99">
        <v>25413</v>
      </c>
      <c r="F99">
        <v>9789.2000000000007</v>
      </c>
      <c r="G99">
        <v>4529.3</v>
      </c>
      <c r="H99">
        <v>4.8</v>
      </c>
      <c r="I99">
        <v>8701.2000000000007</v>
      </c>
      <c r="J99">
        <v>7087.9</v>
      </c>
      <c r="K99">
        <v>6539.1</v>
      </c>
      <c r="L99">
        <v>-1420</v>
      </c>
      <c r="M99">
        <v>735.3</v>
      </c>
      <c r="N99">
        <v>3.2684000000000002</v>
      </c>
      <c r="O99">
        <v>3.4033000000000002</v>
      </c>
      <c r="P99">
        <v>63.901899999999998</v>
      </c>
      <c r="Q99">
        <v>11.938499999999999</v>
      </c>
      <c r="R99">
        <v>14.5123</v>
      </c>
      <c r="S99">
        <v>17.822800000000001</v>
      </c>
      <c r="T99">
        <v>0.93540000000000001</v>
      </c>
      <c r="U99">
        <v>99.074799999999996</v>
      </c>
      <c r="V99">
        <v>420000</v>
      </c>
      <c r="W99">
        <v>0.1186</v>
      </c>
    </row>
    <row r="100" spans="1:23" x14ac:dyDescent="0.3">
      <c r="A100">
        <v>2014</v>
      </c>
      <c r="B100" t="s">
        <v>34</v>
      </c>
      <c r="C100" t="s">
        <v>35</v>
      </c>
      <c r="D100">
        <v>108.48</v>
      </c>
      <c r="E100">
        <v>27441.3</v>
      </c>
      <c r="F100">
        <v>10455.700000000001</v>
      </c>
      <c r="G100">
        <v>4757.8</v>
      </c>
      <c r="H100">
        <v>4.82</v>
      </c>
      <c r="I100">
        <v>9593.7009999999991</v>
      </c>
      <c r="J100">
        <v>12853.4</v>
      </c>
      <c r="K100">
        <v>6730.3</v>
      </c>
      <c r="L100">
        <v>-2304.9</v>
      </c>
      <c r="M100">
        <v>-4618.3</v>
      </c>
      <c r="N100">
        <v>1.5232000000000001</v>
      </c>
      <c r="O100">
        <v>1.1619999999999999</v>
      </c>
      <c r="P100">
        <v>37.015900000000002</v>
      </c>
      <c r="Q100">
        <v>13.900600000000001</v>
      </c>
      <c r="R100">
        <v>17.121099999999998</v>
      </c>
      <c r="S100">
        <v>17.338100000000001</v>
      </c>
      <c r="T100">
        <v>2.2100000000000002E-2</v>
      </c>
      <c r="U100">
        <v>47.0227</v>
      </c>
      <c r="V100">
        <v>420000</v>
      </c>
      <c r="W100">
        <v>1.6222000000000001</v>
      </c>
    </row>
    <row r="101" spans="1:23" x14ac:dyDescent="0.3">
      <c r="A101">
        <v>2013</v>
      </c>
      <c r="B101" t="s">
        <v>34</v>
      </c>
      <c r="C101" t="s">
        <v>35</v>
      </c>
      <c r="D101">
        <v>91.19</v>
      </c>
      <c r="E101">
        <v>28105.7</v>
      </c>
      <c r="F101">
        <v>10902.7</v>
      </c>
      <c r="G101">
        <v>5585.9</v>
      </c>
      <c r="H101">
        <v>5.55</v>
      </c>
      <c r="I101">
        <v>10349.4</v>
      </c>
      <c r="J101">
        <v>16009.7</v>
      </c>
      <c r="K101">
        <v>7120.7</v>
      </c>
      <c r="L101">
        <v>-2673.8</v>
      </c>
      <c r="M101">
        <v>-4043</v>
      </c>
      <c r="N101">
        <v>1.5931</v>
      </c>
      <c r="O101">
        <v>0.88260000000000005</v>
      </c>
      <c r="P101">
        <v>34.890700000000002</v>
      </c>
      <c r="Q101">
        <v>15.251099999999999</v>
      </c>
      <c r="R101">
        <v>18.5335</v>
      </c>
      <c r="S101">
        <v>19.874600000000001</v>
      </c>
      <c r="T101">
        <v>0.43109999999999998</v>
      </c>
      <c r="U101">
        <v>42.520400000000002</v>
      </c>
      <c r="V101">
        <v>440000</v>
      </c>
      <c r="W101">
        <v>1.4648000000000001</v>
      </c>
    </row>
    <row r="102" spans="1:23" x14ac:dyDescent="0.3">
      <c r="A102">
        <v>2012</v>
      </c>
      <c r="B102" t="s">
        <v>34</v>
      </c>
      <c r="C102" t="s">
        <v>35</v>
      </c>
      <c r="D102">
        <v>96.55</v>
      </c>
      <c r="E102">
        <v>27567</v>
      </c>
      <c r="F102">
        <v>10816.3</v>
      </c>
      <c r="G102">
        <v>5464.8</v>
      </c>
      <c r="H102">
        <v>5.36</v>
      </c>
      <c r="I102">
        <v>10093.1</v>
      </c>
      <c r="J102">
        <v>15293.6</v>
      </c>
      <c r="K102">
        <v>6966.1</v>
      </c>
      <c r="L102">
        <v>-3167.3</v>
      </c>
      <c r="M102">
        <v>-3849.8</v>
      </c>
      <c r="N102">
        <v>1.4463999999999999</v>
      </c>
      <c r="O102">
        <v>0.89139999999999997</v>
      </c>
      <c r="P102">
        <v>35.732599999999998</v>
      </c>
      <c r="Q102">
        <v>15.443199999999999</v>
      </c>
      <c r="R102">
        <v>18.892299999999999</v>
      </c>
      <c r="S102">
        <v>19.823699999999999</v>
      </c>
      <c r="T102">
        <v>-0.3911</v>
      </c>
      <c r="U102">
        <v>43.754800000000003</v>
      </c>
      <c r="V102">
        <v>440000</v>
      </c>
      <c r="W102">
        <v>2.0693000000000001</v>
      </c>
    </row>
    <row r="103" spans="1:23" x14ac:dyDescent="0.3">
      <c r="A103">
        <v>2011</v>
      </c>
      <c r="B103" t="s">
        <v>34</v>
      </c>
      <c r="C103" t="s">
        <v>35</v>
      </c>
      <c r="D103">
        <v>88.56</v>
      </c>
      <c r="E103">
        <v>27006</v>
      </c>
      <c r="F103">
        <v>10686.6</v>
      </c>
      <c r="G103">
        <v>5503.1</v>
      </c>
      <c r="H103">
        <v>5.27</v>
      </c>
      <c r="I103">
        <v>9944.7009999999991</v>
      </c>
      <c r="J103">
        <v>14390.2</v>
      </c>
      <c r="K103">
        <v>7150.1</v>
      </c>
      <c r="L103">
        <v>-2570.9</v>
      </c>
      <c r="M103">
        <v>-4533</v>
      </c>
      <c r="N103">
        <v>1.2546999999999999</v>
      </c>
      <c r="O103">
        <v>0.86870000000000003</v>
      </c>
      <c r="P103">
        <v>38.241999999999997</v>
      </c>
      <c r="Q103">
        <v>16.6812</v>
      </c>
      <c r="R103">
        <v>20.747599999999998</v>
      </c>
      <c r="S103">
        <v>20.377300000000002</v>
      </c>
      <c r="T103">
        <v>0.33689999999999998</v>
      </c>
      <c r="U103">
        <v>46.886800000000001</v>
      </c>
      <c r="V103">
        <v>420000</v>
      </c>
      <c r="W103">
        <v>3.1568000000000001</v>
      </c>
    </row>
    <row r="104" spans="1:23" x14ac:dyDescent="0.3">
      <c r="A104">
        <v>2010</v>
      </c>
      <c r="B104" t="s">
        <v>34</v>
      </c>
      <c r="C104" t="s">
        <v>35</v>
      </c>
      <c r="D104">
        <v>102.66</v>
      </c>
      <c r="E104">
        <v>24074.6</v>
      </c>
      <c r="F104">
        <v>9637.2999999999993</v>
      </c>
      <c r="G104">
        <v>4946.3</v>
      </c>
      <c r="H104">
        <v>4.58</v>
      </c>
      <c r="I104">
        <v>8749.2999999999993</v>
      </c>
      <c r="J104">
        <v>14634.2</v>
      </c>
      <c r="K104">
        <v>6341.6</v>
      </c>
      <c r="L104">
        <v>-2056</v>
      </c>
      <c r="M104">
        <v>-3728.7</v>
      </c>
      <c r="N104">
        <v>1.4937</v>
      </c>
      <c r="O104">
        <v>0.78620000000000001</v>
      </c>
      <c r="P104">
        <v>33.799599999999998</v>
      </c>
      <c r="Q104">
        <v>15.469200000000001</v>
      </c>
      <c r="R104">
        <v>18.928699999999999</v>
      </c>
      <c r="S104">
        <v>20.5457</v>
      </c>
      <c r="T104">
        <v>0.46300000000000002</v>
      </c>
      <c r="U104">
        <v>41.054600000000001</v>
      </c>
      <c r="V104">
        <v>400000</v>
      </c>
      <c r="W104">
        <v>1.64</v>
      </c>
    </row>
    <row r="105" spans="1:23" x14ac:dyDescent="0.3">
      <c r="A105">
        <v>2009</v>
      </c>
      <c r="B105" t="s">
        <v>34</v>
      </c>
      <c r="C105" t="s">
        <v>35</v>
      </c>
      <c r="D105">
        <v>81.099999999999994</v>
      </c>
      <c r="E105">
        <v>22744.7</v>
      </c>
      <c r="F105">
        <v>8791.7999999999993</v>
      </c>
      <c r="G105">
        <v>4551</v>
      </c>
      <c r="H105">
        <v>4.1100000000000003</v>
      </c>
      <c r="I105">
        <v>8057.2</v>
      </c>
      <c r="J105">
        <v>14033.9</v>
      </c>
      <c r="K105">
        <v>5751</v>
      </c>
      <c r="L105">
        <v>-1655.3</v>
      </c>
      <c r="M105">
        <v>-4421</v>
      </c>
      <c r="N105">
        <v>1.1431</v>
      </c>
      <c r="O105">
        <v>0.75380000000000003</v>
      </c>
      <c r="P105">
        <v>32.428600000000003</v>
      </c>
      <c r="Q105">
        <v>15.0571</v>
      </c>
      <c r="R105">
        <v>18.5044</v>
      </c>
      <c r="S105">
        <v>20.0091</v>
      </c>
      <c r="T105">
        <v>3.4304999999999999</v>
      </c>
      <c r="U105">
        <v>39.203400000000002</v>
      </c>
      <c r="V105">
        <v>385000</v>
      </c>
      <c r="W105">
        <v>-0.35549999999999998</v>
      </c>
    </row>
    <row r="106" spans="1:23" x14ac:dyDescent="0.3">
      <c r="A106">
        <v>2022</v>
      </c>
      <c r="B106" t="s">
        <v>36</v>
      </c>
      <c r="C106" t="s">
        <v>37</v>
      </c>
      <c r="D106">
        <v>32.53</v>
      </c>
      <c r="E106">
        <v>30868.080000000002</v>
      </c>
      <c r="F106">
        <v>30868.080000000002</v>
      </c>
      <c r="G106">
        <v>6212.9489999999996</v>
      </c>
      <c r="H106">
        <v>1.4743999999999999</v>
      </c>
      <c r="I106">
        <v>1</v>
      </c>
      <c r="J106">
        <v>85667.7</v>
      </c>
      <c r="K106">
        <v>37392.720000000001</v>
      </c>
      <c r="L106">
        <v>-26807.33</v>
      </c>
      <c r="M106">
        <v>860.88239999999996</v>
      </c>
      <c r="N106">
        <v>1</v>
      </c>
      <c r="O106">
        <v>7.1601999999999997</v>
      </c>
      <c r="P106">
        <v>8.6240000000000006</v>
      </c>
      <c r="Q106">
        <v>0.39460000000000001</v>
      </c>
      <c r="R106">
        <v>1.284</v>
      </c>
      <c r="S106">
        <v>21.161999999999999</v>
      </c>
      <c r="T106">
        <v>-6.5476999999999999</v>
      </c>
      <c r="U106">
        <v>9.7883999999999993</v>
      </c>
      <c r="V106">
        <v>87400</v>
      </c>
      <c r="W106">
        <v>8.0028000000000006</v>
      </c>
    </row>
    <row r="107" spans="1:23" x14ac:dyDescent="0.3">
      <c r="A107">
        <v>2021</v>
      </c>
      <c r="B107" t="s">
        <v>36</v>
      </c>
      <c r="C107" t="s">
        <v>37</v>
      </c>
      <c r="D107">
        <v>43.6</v>
      </c>
      <c r="E107">
        <v>30169.69</v>
      </c>
      <c r="F107">
        <v>30169.69</v>
      </c>
      <c r="G107">
        <v>8766.2630000000008</v>
      </c>
      <c r="H107">
        <v>2.0131000000000001</v>
      </c>
      <c r="I107">
        <v>1</v>
      </c>
      <c r="J107">
        <v>96547.15</v>
      </c>
      <c r="K107">
        <v>67268.52</v>
      </c>
      <c r="L107">
        <v>5871.6769999999997</v>
      </c>
      <c r="M107">
        <v>147.13570000000001</v>
      </c>
      <c r="N107">
        <v>1</v>
      </c>
      <c r="O107">
        <v>6.3395999999999999</v>
      </c>
      <c r="P107">
        <v>10.2918</v>
      </c>
      <c r="Q107">
        <v>0.52200000000000002</v>
      </c>
      <c r="R107">
        <v>1.6696</v>
      </c>
      <c r="S107">
        <v>28.216699999999999</v>
      </c>
      <c r="T107">
        <v>-1.4282999999999999</v>
      </c>
      <c r="U107">
        <v>11.6267</v>
      </c>
      <c r="V107">
        <v>81600</v>
      </c>
      <c r="W107">
        <v>4.6978999999999997</v>
      </c>
    </row>
    <row r="108" spans="1:23" x14ac:dyDescent="0.3">
      <c r="A108">
        <v>2020</v>
      </c>
      <c r="B108" t="s">
        <v>36</v>
      </c>
      <c r="C108" t="s">
        <v>37</v>
      </c>
      <c r="D108">
        <v>34.659999999999997</v>
      </c>
      <c r="E108">
        <v>27947.54</v>
      </c>
      <c r="F108">
        <v>27947.54</v>
      </c>
      <c r="G108">
        <v>1959.384</v>
      </c>
      <c r="H108">
        <v>0.44159999999999999</v>
      </c>
      <c r="I108">
        <v>1</v>
      </c>
      <c r="J108">
        <v>85876.479999999996</v>
      </c>
      <c r="K108">
        <v>73836.42</v>
      </c>
      <c r="L108">
        <v>-23594.78</v>
      </c>
      <c r="M108">
        <v>3507.8879999999999</v>
      </c>
      <c r="N108">
        <v>1</v>
      </c>
      <c r="O108">
        <v>6.0327000000000002</v>
      </c>
      <c r="P108">
        <v>3.6796000000000002</v>
      </c>
      <c r="Q108">
        <v>0.18240000000000001</v>
      </c>
      <c r="R108">
        <v>0.60199999999999998</v>
      </c>
      <c r="S108">
        <v>9.0146999999999995</v>
      </c>
      <c r="T108">
        <v>20.434100000000001</v>
      </c>
      <c r="U108">
        <v>4.1759000000000004</v>
      </c>
      <c r="V108">
        <v>83000</v>
      </c>
      <c r="W108">
        <v>1.2336</v>
      </c>
    </row>
    <row r="109" spans="1:23" x14ac:dyDescent="0.3">
      <c r="A109">
        <v>2019</v>
      </c>
      <c r="B109" t="s">
        <v>36</v>
      </c>
      <c r="C109" t="s">
        <v>37</v>
      </c>
      <c r="D109">
        <v>40.78</v>
      </c>
      <c r="E109">
        <v>27621.9</v>
      </c>
      <c r="F109">
        <v>27621.9</v>
      </c>
      <c r="G109">
        <v>4180.5709999999999</v>
      </c>
      <c r="H109">
        <v>0.72</v>
      </c>
      <c r="I109">
        <v>1</v>
      </c>
      <c r="J109">
        <v>83841.259999999995</v>
      </c>
      <c r="K109">
        <v>-15699.49</v>
      </c>
      <c r="L109">
        <v>-16377.52</v>
      </c>
      <c r="M109">
        <v>881.06100000000004</v>
      </c>
      <c r="N109">
        <v>1</v>
      </c>
      <c r="O109">
        <v>5.3348000000000004</v>
      </c>
      <c r="P109">
        <v>5.1081000000000003</v>
      </c>
      <c r="Q109">
        <v>0.29420000000000002</v>
      </c>
      <c r="R109">
        <v>0.92010000000000003</v>
      </c>
      <c r="S109">
        <v>16.602399999999999</v>
      </c>
      <c r="T109">
        <v>-6.2895000000000003</v>
      </c>
      <c r="U109">
        <v>5.8289</v>
      </c>
      <c r="V109">
        <v>80800</v>
      </c>
      <c r="W109">
        <v>1.8122</v>
      </c>
    </row>
    <row r="110" spans="1:23" x14ac:dyDescent="0.3">
      <c r="A110">
        <v>2018</v>
      </c>
      <c r="B110" t="s">
        <v>36</v>
      </c>
      <c r="C110" t="s">
        <v>37</v>
      </c>
      <c r="D110">
        <v>31.68</v>
      </c>
      <c r="E110">
        <v>28212.33</v>
      </c>
      <c r="F110">
        <v>28212.33</v>
      </c>
      <c r="G110">
        <v>1860.711</v>
      </c>
      <c r="H110">
        <v>0.49120000000000003</v>
      </c>
      <c r="I110">
        <v>1</v>
      </c>
      <c r="J110">
        <v>85132.21</v>
      </c>
      <c r="K110">
        <v>11351.14</v>
      </c>
      <c r="L110">
        <v>903.65959999999995</v>
      </c>
      <c r="M110">
        <v>-9059.2880000000005</v>
      </c>
      <c r="N110">
        <v>1</v>
      </c>
      <c r="O110">
        <v>5.8975</v>
      </c>
      <c r="P110">
        <v>3.7191000000000001</v>
      </c>
      <c r="Q110">
        <v>0.20930000000000001</v>
      </c>
      <c r="R110">
        <v>0.61860000000000004</v>
      </c>
      <c r="S110">
        <v>7.0876999999999999</v>
      </c>
      <c r="T110">
        <v>-15.571199999999999</v>
      </c>
      <c r="U110">
        <v>4.2504</v>
      </c>
      <c r="V110">
        <v>83500</v>
      </c>
      <c r="W110">
        <v>2.4426000000000001</v>
      </c>
    </row>
    <row r="111" spans="1:23" x14ac:dyDescent="0.3">
      <c r="A111">
        <v>2017</v>
      </c>
      <c r="B111" t="s">
        <v>36</v>
      </c>
      <c r="C111" t="s">
        <v>37</v>
      </c>
      <c r="D111">
        <v>45.79</v>
      </c>
      <c r="E111">
        <v>27162.75</v>
      </c>
      <c r="F111">
        <v>27162.75</v>
      </c>
      <c r="G111">
        <v>-2477.0729999999999</v>
      </c>
      <c r="H111">
        <v>-0.57299999999999995</v>
      </c>
      <c r="I111">
        <v>1</v>
      </c>
      <c r="J111">
        <v>85081.42</v>
      </c>
      <c r="K111">
        <v>78244.34</v>
      </c>
      <c r="L111">
        <v>4513.3770000000004</v>
      </c>
      <c r="M111">
        <v>1238.537</v>
      </c>
      <c r="N111">
        <v>1</v>
      </c>
      <c r="O111">
        <v>5.2797000000000001</v>
      </c>
      <c r="P111">
        <v>1.9706999999999999</v>
      </c>
      <c r="Q111">
        <v>0.1148</v>
      </c>
      <c r="R111">
        <v>0.38619999999999999</v>
      </c>
      <c r="S111">
        <v>-10.2561</v>
      </c>
      <c r="T111">
        <v>14.5974</v>
      </c>
      <c r="U111">
        <v>2.2366999999999999</v>
      </c>
      <c r="V111">
        <v>79900</v>
      </c>
      <c r="W111">
        <v>2.1301000000000001</v>
      </c>
    </row>
    <row r="112" spans="1:23" x14ac:dyDescent="0.3">
      <c r="A112">
        <v>2016</v>
      </c>
      <c r="B112" t="s">
        <v>36</v>
      </c>
      <c r="C112" t="s">
        <v>37</v>
      </c>
      <c r="D112">
        <v>46.21</v>
      </c>
      <c r="E112">
        <v>29072.54</v>
      </c>
      <c r="F112">
        <v>29072.54</v>
      </c>
      <c r="G112">
        <v>2373.13</v>
      </c>
      <c r="H112">
        <v>0.55840000000000001</v>
      </c>
      <c r="I112">
        <v>1</v>
      </c>
      <c r="J112">
        <v>96720.98</v>
      </c>
      <c r="K112">
        <v>15295.92</v>
      </c>
      <c r="L112">
        <v>49749</v>
      </c>
      <c r="M112">
        <v>-1784.93</v>
      </c>
      <c r="N112">
        <v>1</v>
      </c>
      <c r="O112">
        <v>3.5002</v>
      </c>
      <c r="P112">
        <v>3.1345999999999998</v>
      </c>
      <c r="Q112">
        <v>0.18440000000000001</v>
      </c>
      <c r="R112">
        <v>0.8387</v>
      </c>
      <c r="S112">
        <v>9.1781000000000006</v>
      </c>
      <c r="T112">
        <v>-2.4382000000000001</v>
      </c>
      <c r="U112">
        <v>3.5150999999999999</v>
      </c>
      <c r="V112">
        <v>119300</v>
      </c>
      <c r="W112">
        <v>1.2616000000000001</v>
      </c>
    </row>
    <row r="113" spans="1:23" x14ac:dyDescent="0.3">
      <c r="A113">
        <v>2015</v>
      </c>
      <c r="B113" t="s">
        <v>36</v>
      </c>
      <c r="C113" t="s">
        <v>37</v>
      </c>
      <c r="D113">
        <v>53.45</v>
      </c>
      <c r="E113">
        <v>38919.160000000003</v>
      </c>
      <c r="F113">
        <v>38919.160000000003</v>
      </c>
      <c r="G113">
        <v>-495.39600000000002</v>
      </c>
      <c r="H113">
        <v>-0.1162</v>
      </c>
      <c r="I113">
        <v>1</v>
      </c>
      <c r="J113">
        <v>100706.1</v>
      </c>
      <c r="K113">
        <v>24659.71</v>
      </c>
      <c r="L113">
        <v>-12895.59</v>
      </c>
      <c r="M113">
        <v>-674.28899999999999</v>
      </c>
      <c r="N113">
        <v>1</v>
      </c>
      <c r="O113">
        <v>3.6646000000000001</v>
      </c>
      <c r="P113">
        <v>0.94589999999999996</v>
      </c>
      <c r="Q113">
        <v>5.5599999999999997E-2</v>
      </c>
      <c r="R113">
        <v>0.251</v>
      </c>
      <c r="S113">
        <v>-1.3882000000000001</v>
      </c>
      <c r="T113">
        <v>9.9995999999999992</v>
      </c>
      <c r="U113">
        <v>1.0808</v>
      </c>
      <c r="V113">
        <v>129400</v>
      </c>
      <c r="W113">
        <v>0.1186</v>
      </c>
    </row>
    <row r="114" spans="1:23" x14ac:dyDescent="0.3">
      <c r="A114">
        <v>2014</v>
      </c>
      <c r="B114" t="s">
        <v>36</v>
      </c>
      <c r="C114" t="s">
        <v>37</v>
      </c>
      <c r="D114">
        <v>60.47</v>
      </c>
      <c r="E114">
        <v>41677.15</v>
      </c>
      <c r="F114">
        <v>41677.15</v>
      </c>
      <c r="G114">
        <v>-197.77160000000001</v>
      </c>
      <c r="H114">
        <v>-4.5999999999999999E-2</v>
      </c>
      <c r="I114">
        <v>1</v>
      </c>
      <c r="J114">
        <v>108705.4</v>
      </c>
      <c r="K114">
        <v>-17207.810000000001</v>
      </c>
      <c r="L114">
        <v>17560.509999999998</v>
      </c>
      <c r="M114">
        <v>-5039.8900000000003</v>
      </c>
      <c r="N114">
        <v>1</v>
      </c>
      <c r="O114">
        <v>5.0612000000000004</v>
      </c>
      <c r="P114">
        <v>1.2810999999999999</v>
      </c>
      <c r="Q114">
        <v>6.2199999999999998E-2</v>
      </c>
      <c r="R114">
        <v>0.36709999999999998</v>
      </c>
      <c r="S114">
        <v>-0.51900000000000002</v>
      </c>
      <c r="T114">
        <v>6.6557000000000004</v>
      </c>
      <c r="U114">
        <v>1.4624999999999999</v>
      </c>
      <c r="V114">
        <v>132300</v>
      </c>
      <c r="W114">
        <v>1.6222000000000001</v>
      </c>
    </row>
    <row r="115" spans="1:23" x14ac:dyDescent="0.3">
      <c r="A115">
        <v>2013</v>
      </c>
      <c r="B115" t="s">
        <v>36</v>
      </c>
      <c r="C115" t="s">
        <v>37</v>
      </c>
      <c r="D115">
        <v>55.49</v>
      </c>
      <c r="E115">
        <v>43712.69</v>
      </c>
      <c r="F115">
        <v>43712.69</v>
      </c>
      <c r="G115">
        <v>846.55679999999995</v>
      </c>
      <c r="H115">
        <v>0.23200000000000001</v>
      </c>
      <c r="I115">
        <v>1</v>
      </c>
      <c r="J115">
        <v>100067.4</v>
      </c>
      <c r="K115">
        <v>-39392.269999999997</v>
      </c>
      <c r="L115">
        <v>-35434.89</v>
      </c>
      <c r="M115">
        <v>9247.9680000000008</v>
      </c>
      <c r="N115">
        <v>1</v>
      </c>
      <c r="O115">
        <v>6.6208</v>
      </c>
      <c r="P115">
        <v>2.0282</v>
      </c>
      <c r="Q115">
        <v>9.8799999999999999E-2</v>
      </c>
      <c r="R115">
        <v>0.54700000000000004</v>
      </c>
      <c r="S115">
        <v>2.1758000000000002</v>
      </c>
      <c r="T115">
        <v>-3.8584999999999998</v>
      </c>
      <c r="U115">
        <v>2.3052000000000001</v>
      </c>
      <c r="V115">
        <v>139600</v>
      </c>
      <c r="W115">
        <v>1.4648000000000001</v>
      </c>
    </row>
    <row r="116" spans="1:23" x14ac:dyDescent="0.3">
      <c r="A116">
        <v>2012</v>
      </c>
      <c r="B116" t="s">
        <v>36</v>
      </c>
      <c r="C116" t="s">
        <v>37</v>
      </c>
      <c r="D116">
        <v>52.82</v>
      </c>
      <c r="E116">
        <v>46036.06</v>
      </c>
      <c r="F116">
        <v>46036.06</v>
      </c>
      <c r="G116">
        <v>-1650.0889999999999</v>
      </c>
      <c r="H116">
        <v>-0.53900000000000003</v>
      </c>
      <c r="I116">
        <v>1</v>
      </c>
      <c r="J116">
        <v>99793.14</v>
      </c>
      <c r="K116">
        <v>-21741.23</v>
      </c>
      <c r="L116">
        <v>-11252.63</v>
      </c>
      <c r="M116">
        <v>-4504.8540000000003</v>
      </c>
      <c r="N116">
        <v>1</v>
      </c>
      <c r="O116">
        <v>7.6879999999999997</v>
      </c>
      <c r="P116">
        <v>-0.37490000000000001</v>
      </c>
      <c r="Q116">
        <v>-1.5800000000000002E-2</v>
      </c>
      <c r="R116">
        <v>-8.2900000000000001E-2</v>
      </c>
      <c r="S116">
        <v>-4.0909000000000004</v>
      </c>
      <c r="T116">
        <v>-21.998000000000001</v>
      </c>
      <c r="U116">
        <v>-0.42880000000000001</v>
      </c>
      <c r="V116">
        <v>139200</v>
      </c>
      <c r="W116">
        <v>2.0693000000000001</v>
      </c>
    </row>
    <row r="117" spans="1:23" x14ac:dyDescent="0.3">
      <c r="A117">
        <v>2011</v>
      </c>
      <c r="B117" t="s">
        <v>36</v>
      </c>
      <c r="C117" t="s">
        <v>37</v>
      </c>
      <c r="D117">
        <v>33.47</v>
      </c>
      <c r="E117">
        <v>48866.82</v>
      </c>
      <c r="F117">
        <v>48866.82</v>
      </c>
      <c r="G117">
        <v>6338.98</v>
      </c>
      <c r="H117">
        <v>1.54</v>
      </c>
      <c r="I117">
        <v>1</v>
      </c>
      <c r="J117">
        <v>104600.5</v>
      </c>
      <c r="K117">
        <v>46654.34</v>
      </c>
      <c r="L117">
        <v>-3067.61</v>
      </c>
      <c r="M117">
        <v>-9563.82</v>
      </c>
      <c r="N117">
        <v>1</v>
      </c>
      <c r="O117">
        <v>7.6044999999999998</v>
      </c>
      <c r="P117">
        <v>4.6121999999999996</v>
      </c>
      <c r="Q117">
        <v>0.1923</v>
      </c>
      <c r="R117">
        <v>1.3680000000000001</v>
      </c>
      <c r="S117">
        <v>12.235200000000001</v>
      </c>
      <c r="T117">
        <v>6.1199000000000003</v>
      </c>
      <c r="U117">
        <v>5.2431999999999999</v>
      </c>
      <c r="V117">
        <v>141100</v>
      </c>
      <c r="W117">
        <v>3.1568000000000001</v>
      </c>
    </row>
    <row r="118" spans="1:23" x14ac:dyDescent="0.3">
      <c r="A118">
        <v>2010</v>
      </c>
      <c r="B118" t="s">
        <v>36</v>
      </c>
      <c r="C118" t="s">
        <v>37</v>
      </c>
      <c r="D118">
        <v>47.13</v>
      </c>
      <c r="E118">
        <v>49030.07</v>
      </c>
      <c r="F118">
        <v>49030.07</v>
      </c>
      <c r="G118">
        <v>7034.11</v>
      </c>
      <c r="H118">
        <v>1.84</v>
      </c>
      <c r="I118">
        <v>1</v>
      </c>
      <c r="J118">
        <v>96275.73</v>
      </c>
      <c r="K118">
        <v>28894.16</v>
      </c>
      <c r="L118">
        <v>-8701.0300000000007</v>
      </c>
      <c r="M118">
        <v>245.86</v>
      </c>
      <c r="N118">
        <v>1</v>
      </c>
      <c r="O118">
        <v>9.3328000000000007</v>
      </c>
      <c r="P118">
        <v>6.0555000000000003</v>
      </c>
      <c r="Q118">
        <v>0.25309999999999999</v>
      </c>
      <c r="R118">
        <v>1.5241</v>
      </c>
      <c r="S118">
        <v>14.4688</v>
      </c>
      <c r="T118">
        <v>-12.8733</v>
      </c>
      <c r="U118">
        <v>7.0387000000000004</v>
      </c>
      <c r="V118">
        <v>147500</v>
      </c>
      <c r="W118">
        <v>1.64</v>
      </c>
    </row>
    <row r="119" spans="1:23" x14ac:dyDescent="0.3">
      <c r="A119">
        <v>2009</v>
      </c>
      <c r="B119" t="s">
        <v>36</v>
      </c>
      <c r="C119" t="s">
        <v>37</v>
      </c>
      <c r="D119">
        <v>36.840000000000003</v>
      </c>
      <c r="E119">
        <v>45992.04</v>
      </c>
      <c r="F119">
        <v>45992.04</v>
      </c>
      <c r="G119">
        <v>5497.87</v>
      </c>
      <c r="H119">
        <v>5.12</v>
      </c>
      <c r="I119">
        <v>1</v>
      </c>
      <c r="J119">
        <v>91570.7</v>
      </c>
      <c r="K119">
        <v>65523.51</v>
      </c>
      <c r="L119">
        <v>18026.64</v>
      </c>
      <c r="M119">
        <v>-1035.05</v>
      </c>
      <c r="N119">
        <v>1</v>
      </c>
      <c r="O119">
        <v>8.5152000000000001</v>
      </c>
      <c r="P119">
        <v>19.528300000000002</v>
      </c>
      <c r="Q119">
        <v>0.82820000000000005</v>
      </c>
      <c r="R119">
        <v>5.1862000000000004</v>
      </c>
      <c r="S119">
        <v>12.0558</v>
      </c>
      <c r="T119">
        <v>21.5535</v>
      </c>
      <c r="U119">
        <v>22.985099999999999</v>
      </c>
      <c r="V119">
        <v>144200</v>
      </c>
      <c r="W119">
        <v>-0.35549999999999998</v>
      </c>
    </row>
    <row r="120" spans="1:23" x14ac:dyDescent="0.3">
      <c r="A120">
        <v>2023</v>
      </c>
      <c r="B120" t="s">
        <v>38</v>
      </c>
      <c r="C120" t="s">
        <v>39</v>
      </c>
      <c r="D120">
        <v>1000.35</v>
      </c>
      <c r="E120">
        <v>26974</v>
      </c>
      <c r="F120">
        <v>15356</v>
      </c>
      <c r="G120">
        <v>4368</v>
      </c>
      <c r="H120">
        <v>1.74</v>
      </c>
      <c r="I120">
        <v>5768</v>
      </c>
      <c r="J120">
        <v>22101</v>
      </c>
      <c r="K120">
        <v>5641</v>
      </c>
      <c r="L120">
        <v>7375</v>
      </c>
      <c r="M120">
        <v>-11617</v>
      </c>
      <c r="N120">
        <v>3.5156000000000001</v>
      </c>
      <c r="O120">
        <v>0.49559999999999998</v>
      </c>
      <c r="P120">
        <v>19.7638</v>
      </c>
      <c r="Q120">
        <v>10.6066</v>
      </c>
      <c r="R120">
        <v>13.7341</v>
      </c>
      <c r="S120">
        <v>16.1934</v>
      </c>
      <c r="T120">
        <v>-1.6890000000000001</v>
      </c>
      <c r="U120">
        <v>27.209900000000001</v>
      </c>
      <c r="V120">
        <v>26196</v>
      </c>
      <c r="W120">
        <v>3.7</v>
      </c>
    </row>
    <row r="121" spans="1:23" x14ac:dyDescent="0.3">
      <c r="A121">
        <v>2022</v>
      </c>
      <c r="B121" t="s">
        <v>38</v>
      </c>
      <c r="C121" t="s">
        <v>39</v>
      </c>
      <c r="D121">
        <v>359.5</v>
      </c>
      <c r="E121">
        <v>26914</v>
      </c>
      <c r="F121">
        <v>17475</v>
      </c>
      <c r="G121">
        <v>9752</v>
      </c>
      <c r="H121">
        <v>3.85</v>
      </c>
      <c r="I121">
        <v>11215</v>
      </c>
      <c r="J121">
        <v>26612</v>
      </c>
      <c r="K121">
        <v>9108</v>
      </c>
      <c r="L121">
        <v>-9830</v>
      </c>
      <c r="M121">
        <v>1865</v>
      </c>
      <c r="N121">
        <v>6.6502999999999997</v>
      </c>
      <c r="O121">
        <v>0.4113</v>
      </c>
      <c r="P121">
        <v>36.645099999999999</v>
      </c>
      <c r="Q121">
        <v>22.069800000000001</v>
      </c>
      <c r="R121">
        <v>25.965199999999999</v>
      </c>
      <c r="S121">
        <v>36.233899999999998</v>
      </c>
      <c r="T121">
        <v>1.3378000000000001</v>
      </c>
      <c r="U121">
        <v>48.945999999999998</v>
      </c>
      <c r="V121">
        <v>22473</v>
      </c>
      <c r="W121">
        <v>8.0028000000000006</v>
      </c>
    </row>
    <row r="122" spans="1:23" x14ac:dyDescent="0.3">
      <c r="A122">
        <v>2021</v>
      </c>
      <c r="B122" t="s">
        <v>38</v>
      </c>
      <c r="C122" t="s">
        <v>39</v>
      </c>
      <c r="D122">
        <v>735.86</v>
      </c>
      <c r="E122">
        <v>16675</v>
      </c>
      <c r="F122">
        <v>10396</v>
      </c>
      <c r="G122">
        <v>4332</v>
      </c>
      <c r="H122">
        <v>1.73</v>
      </c>
      <c r="I122">
        <v>5630</v>
      </c>
      <c r="J122">
        <v>16893</v>
      </c>
      <c r="K122">
        <v>5822</v>
      </c>
      <c r="L122">
        <v>-19675</v>
      </c>
      <c r="M122">
        <v>3804</v>
      </c>
      <c r="N122">
        <v>4.0903999999999998</v>
      </c>
      <c r="O122">
        <v>0.41220000000000001</v>
      </c>
      <c r="P122">
        <v>25.643799999999999</v>
      </c>
      <c r="Q122">
        <v>15.0464</v>
      </c>
      <c r="R122">
        <v>18.9526</v>
      </c>
      <c r="S122">
        <v>25.978999999999999</v>
      </c>
      <c r="T122">
        <v>0.1419</v>
      </c>
      <c r="U122">
        <v>43.480899999999998</v>
      </c>
      <c r="V122">
        <v>18975</v>
      </c>
      <c r="W122">
        <v>4.6978999999999997</v>
      </c>
    </row>
    <row r="123" spans="1:23" x14ac:dyDescent="0.3">
      <c r="A123">
        <v>2020</v>
      </c>
      <c r="B123" t="s">
        <v>38</v>
      </c>
      <c r="C123" t="s">
        <v>39</v>
      </c>
      <c r="D123">
        <v>323.24</v>
      </c>
      <c r="E123">
        <v>10918</v>
      </c>
      <c r="F123">
        <v>6768</v>
      </c>
      <c r="G123">
        <v>2796</v>
      </c>
      <c r="H123">
        <v>1.1299999999999999</v>
      </c>
      <c r="I123">
        <v>3227</v>
      </c>
      <c r="J123">
        <v>12204</v>
      </c>
      <c r="K123">
        <v>4761</v>
      </c>
      <c r="L123">
        <v>6145</v>
      </c>
      <c r="M123">
        <v>-792</v>
      </c>
      <c r="N123">
        <v>7.6738</v>
      </c>
      <c r="O123">
        <v>0.16309999999999999</v>
      </c>
      <c r="P123">
        <v>22.910499999999999</v>
      </c>
      <c r="Q123">
        <v>16.1479</v>
      </c>
      <c r="R123">
        <v>19.697099999999999</v>
      </c>
      <c r="S123">
        <v>25.609100000000002</v>
      </c>
      <c r="T123">
        <v>0.47099999999999997</v>
      </c>
      <c r="U123">
        <v>24.235099999999999</v>
      </c>
      <c r="V123">
        <v>13775</v>
      </c>
      <c r="W123">
        <v>1.2336</v>
      </c>
    </row>
    <row r="124" spans="1:23" x14ac:dyDescent="0.3">
      <c r="A124">
        <v>2019</v>
      </c>
      <c r="B124" t="s">
        <v>38</v>
      </c>
      <c r="C124" t="s">
        <v>39</v>
      </c>
      <c r="D124">
        <v>144</v>
      </c>
      <c r="E124">
        <v>11716</v>
      </c>
      <c r="F124">
        <v>7171</v>
      </c>
      <c r="G124">
        <v>4141</v>
      </c>
      <c r="H124">
        <v>1.6575</v>
      </c>
      <c r="I124">
        <v>4066</v>
      </c>
      <c r="J124">
        <v>9342</v>
      </c>
      <c r="K124">
        <v>3743</v>
      </c>
      <c r="L124">
        <v>-4097</v>
      </c>
      <c r="M124">
        <v>-2866</v>
      </c>
      <c r="N124">
        <v>7.9436</v>
      </c>
      <c r="O124">
        <v>0.21279999999999999</v>
      </c>
      <c r="P124">
        <v>44.326700000000002</v>
      </c>
      <c r="Q124">
        <v>31.1541</v>
      </c>
      <c r="R124">
        <v>36.548999999999999</v>
      </c>
      <c r="S124">
        <v>35.344799999999999</v>
      </c>
      <c r="T124">
        <v>0.1057</v>
      </c>
      <c r="U124">
        <v>47.712899999999998</v>
      </c>
      <c r="V124">
        <v>13277</v>
      </c>
      <c r="W124">
        <v>1.8122</v>
      </c>
    </row>
    <row r="125" spans="1:23" x14ac:dyDescent="0.3">
      <c r="A125">
        <v>2018</v>
      </c>
      <c r="B125" t="s">
        <v>38</v>
      </c>
      <c r="C125" t="s">
        <v>39</v>
      </c>
      <c r="D125">
        <v>81.44</v>
      </c>
      <c r="E125">
        <v>9714</v>
      </c>
      <c r="F125">
        <v>5822</v>
      </c>
      <c r="G125">
        <v>3047</v>
      </c>
      <c r="H125">
        <v>1.2050000000000001</v>
      </c>
      <c r="I125">
        <v>3409</v>
      </c>
      <c r="J125">
        <v>7471</v>
      </c>
      <c r="K125">
        <v>3502</v>
      </c>
      <c r="L125">
        <v>1278</v>
      </c>
      <c r="M125">
        <v>-2544</v>
      </c>
      <c r="N125">
        <v>8.0268999999999995</v>
      </c>
      <c r="O125">
        <v>0.26769999999999999</v>
      </c>
      <c r="P125">
        <v>40.784399999999998</v>
      </c>
      <c r="Q125">
        <v>27.106100000000001</v>
      </c>
      <c r="R125">
        <v>32.222900000000003</v>
      </c>
      <c r="S125">
        <v>31.367100000000001</v>
      </c>
      <c r="T125">
        <v>0.57250000000000001</v>
      </c>
      <c r="U125">
        <v>44.802199999999999</v>
      </c>
      <c r="V125">
        <v>11528</v>
      </c>
      <c r="W125">
        <v>2.4426000000000001</v>
      </c>
    </row>
    <row r="126" spans="1:23" x14ac:dyDescent="0.3">
      <c r="A126">
        <v>2017</v>
      </c>
      <c r="B126" t="s">
        <v>38</v>
      </c>
      <c r="C126" t="s">
        <v>39</v>
      </c>
      <c r="D126">
        <v>117.26</v>
      </c>
      <c r="E126">
        <v>6910</v>
      </c>
      <c r="F126">
        <v>4063</v>
      </c>
      <c r="G126">
        <v>1666</v>
      </c>
      <c r="H126">
        <v>0.64249999999999996</v>
      </c>
      <c r="I126">
        <v>2121</v>
      </c>
      <c r="J126">
        <v>5762</v>
      </c>
      <c r="K126">
        <v>1672</v>
      </c>
      <c r="L126">
        <v>-793</v>
      </c>
      <c r="M126">
        <v>291</v>
      </c>
      <c r="N126">
        <v>4.774</v>
      </c>
      <c r="O126">
        <v>0.48770000000000002</v>
      </c>
      <c r="P126">
        <v>28.913599999999999</v>
      </c>
      <c r="Q126">
        <v>16.929200000000002</v>
      </c>
      <c r="R126">
        <v>21.424900000000001</v>
      </c>
      <c r="S126">
        <v>24.11</v>
      </c>
      <c r="T126">
        <v>9.7500000000000003E-2</v>
      </c>
      <c r="U126">
        <v>33.055599999999998</v>
      </c>
      <c r="V126">
        <v>10299</v>
      </c>
      <c r="W126">
        <v>2.1301000000000001</v>
      </c>
    </row>
    <row r="127" spans="1:23" x14ac:dyDescent="0.3">
      <c r="A127">
        <v>2016</v>
      </c>
      <c r="B127" t="s">
        <v>38</v>
      </c>
      <c r="C127" t="s">
        <v>39</v>
      </c>
      <c r="D127">
        <v>57.53</v>
      </c>
      <c r="E127">
        <v>5010</v>
      </c>
      <c r="F127">
        <v>2811</v>
      </c>
      <c r="G127">
        <v>614</v>
      </c>
      <c r="H127">
        <v>0.27</v>
      </c>
      <c r="I127">
        <v>973</v>
      </c>
      <c r="J127">
        <v>4469</v>
      </c>
      <c r="K127">
        <v>1175</v>
      </c>
      <c r="L127">
        <v>-400</v>
      </c>
      <c r="M127">
        <v>-676</v>
      </c>
      <c r="N127">
        <v>2.5746000000000002</v>
      </c>
      <c r="O127">
        <v>0.33789999999999998</v>
      </c>
      <c r="P127">
        <v>13.739100000000001</v>
      </c>
      <c r="Q127">
        <v>8.3310999999999993</v>
      </c>
      <c r="R127">
        <v>13.4472</v>
      </c>
      <c r="S127">
        <v>12.2555</v>
      </c>
      <c r="T127">
        <v>0.124</v>
      </c>
      <c r="U127">
        <v>16.662099999999999</v>
      </c>
      <c r="V127">
        <v>9227</v>
      </c>
      <c r="W127">
        <v>1.2616000000000001</v>
      </c>
    </row>
    <row r="128" spans="1:23" x14ac:dyDescent="0.3">
      <c r="A128">
        <v>2015</v>
      </c>
      <c r="B128" t="s">
        <v>38</v>
      </c>
      <c r="C128" t="s">
        <v>39</v>
      </c>
      <c r="D128">
        <v>17.73</v>
      </c>
      <c r="E128">
        <v>4682</v>
      </c>
      <c r="F128">
        <v>2599</v>
      </c>
      <c r="G128">
        <v>631</v>
      </c>
      <c r="H128">
        <v>0.28000000000000003</v>
      </c>
      <c r="I128">
        <v>1007</v>
      </c>
      <c r="J128">
        <v>4418</v>
      </c>
      <c r="K128">
        <v>906</v>
      </c>
      <c r="L128">
        <v>-727</v>
      </c>
      <c r="M128">
        <v>-834</v>
      </c>
      <c r="N128">
        <v>6.3761000000000001</v>
      </c>
      <c r="O128">
        <v>0.31640000000000001</v>
      </c>
      <c r="P128">
        <v>14.282500000000001</v>
      </c>
      <c r="Q128">
        <v>8.7627000000000006</v>
      </c>
      <c r="R128">
        <v>10.849399999999999</v>
      </c>
      <c r="S128">
        <v>13.4772</v>
      </c>
      <c r="T128">
        <v>0.1033</v>
      </c>
      <c r="U128">
        <v>17.6356</v>
      </c>
      <c r="V128">
        <v>9228</v>
      </c>
      <c r="W128">
        <v>0.1186</v>
      </c>
    </row>
    <row r="129" spans="1:23" x14ac:dyDescent="0.3">
      <c r="A129">
        <v>2014</v>
      </c>
      <c r="B129" t="s">
        <v>38</v>
      </c>
      <c r="C129" t="s">
        <v>39</v>
      </c>
      <c r="D129">
        <v>10.9</v>
      </c>
      <c r="E129">
        <v>4130</v>
      </c>
      <c r="F129">
        <v>2268</v>
      </c>
      <c r="G129">
        <v>440</v>
      </c>
      <c r="H129">
        <v>0.185</v>
      </c>
      <c r="I129">
        <v>740</v>
      </c>
      <c r="J129">
        <v>4456.3980000000001</v>
      </c>
      <c r="K129">
        <v>835</v>
      </c>
      <c r="L129">
        <v>-806</v>
      </c>
      <c r="M129">
        <v>390</v>
      </c>
      <c r="N129">
        <v>5.9489999999999998</v>
      </c>
      <c r="O129">
        <v>0.30830000000000002</v>
      </c>
      <c r="P129">
        <v>9.8734000000000002</v>
      </c>
      <c r="Q129">
        <v>6.0682</v>
      </c>
      <c r="R129">
        <v>7.5468000000000002</v>
      </c>
      <c r="S129">
        <v>10.6538</v>
      </c>
      <c r="T129">
        <v>-2.2000000000000001E-3</v>
      </c>
      <c r="U129">
        <v>12.5099</v>
      </c>
      <c r="V129">
        <v>8808</v>
      </c>
      <c r="W129">
        <v>1.6222000000000001</v>
      </c>
    </row>
    <row r="130" spans="1:23" x14ac:dyDescent="0.3">
      <c r="A130">
        <v>2013</v>
      </c>
      <c r="B130" t="s">
        <v>38</v>
      </c>
      <c r="C130" t="s">
        <v>39</v>
      </c>
      <c r="D130">
        <v>9.11</v>
      </c>
      <c r="E130">
        <v>4280.1589999999997</v>
      </c>
      <c r="F130">
        <v>2226.3429999999998</v>
      </c>
      <c r="G130">
        <v>562.53599999999994</v>
      </c>
      <c r="H130">
        <v>0.22500000000000001</v>
      </c>
      <c r="I130">
        <v>874.4742</v>
      </c>
      <c r="J130">
        <v>4827.7030000000004</v>
      </c>
      <c r="K130">
        <v>824.17200000000003</v>
      </c>
      <c r="L130">
        <v>-743.99199999999996</v>
      </c>
      <c r="M130">
        <v>-15.27</v>
      </c>
      <c r="N130">
        <v>4.8916000000000004</v>
      </c>
      <c r="O130">
        <v>3.8999999999999998E-3</v>
      </c>
      <c r="P130">
        <v>11.6523</v>
      </c>
      <c r="Q130">
        <v>8.7728000000000002</v>
      </c>
      <c r="R130">
        <v>11.6066</v>
      </c>
      <c r="S130">
        <v>13.142899999999999</v>
      </c>
      <c r="T130">
        <v>-5.6099999999999997E-2</v>
      </c>
      <c r="U130">
        <v>14.519500000000001</v>
      </c>
      <c r="V130">
        <v>7974</v>
      </c>
      <c r="W130">
        <v>1.4648000000000001</v>
      </c>
    </row>
    <row r="131" spans="1:23" x14ac:dyDescent="0.3">
      <c r="A131">
        <v>2012</v>
      </c>
      <c r="B131" t="s">
        <v>38</v>
      </c>
      <c r="C131" t="s">
        <v>39</v>
      </c>
      <c r="D131">
        <v>7.66</v>
      </c>
      <c r="E131">
        <v>3997.93</v>
      </c>
      <c r="F131">
        <v>2056.5169999999998</v>
      </c>
      <c r="G131">
        <v>581.09</v>
      </c>
      <c r="H131">
        <v>0.23499999999999999</v>
      </c>
      <c r="I131">
        <v>852.50379999999996</v>
      </c>
      <c r="J131">
        <v>4145.7240000000002</v>
      </c>
      <c r="K131">
        <v>909.15599999999995</v>
      </c>
      <c r="L131">
        <v>-1143.364</v>
      </c>
      <c r="M131">
        <v>236.72300000000001</v>
      </c>
      <c r="N131">
        <v>4.1994999999999996</v>
      </c>
      <c r="O131">
        <v>5.1999999999999998E-3</v>
      </c>
      <c r="P131">
        <v>14.0166</v>
      </c>
      <c r="Q131">
        <v>10.464600000000001</v>
      </c>
      <c r="R131">
        <v>13.9445</v>
      </c>
      <c r="S131">
        <v>14.534800000000001</v>
      </c>
      <c r="T131">
        <v>6.7100000000000007E-2</v>
      </c>
      <c r="U131">
        <v>18.281600000000001</v>
      </c>
      <c r="V131">
        <v>7133</v>
      </c>
      <c r="W131">
        <v>2.0693000000000001</v>
      </c>
    </row>
    <row r="132" spans="1:23" x14ac:dyDescent="0.3">
      <c r="A132">
        <v>2011</v>
      </c>
      <c r="B132" t="s">
        <v>38</v>
      </c>
      <c r="C132" t="s">
        <v>39</v>
      </c>
      <c r="D132">
        <v>8.4600000000000009</v>
      </c>
      <c r="E132">
        <v>3543.3090000000002</v>
      </c>
      <c r="F132">
        <v>1409.09</v>
      </c>
      <c r="G132">
        <v>253.14599999999999</v>
      </c>
      <c r="H132">
        <v>0.1075</v>
      </c>
      <c r="I132">
        <v>442.73610000000002</v>
      </c>
      <c r="J132">
        <v>3181.462</v>
      </c>
      <c r="K132">
        <v>675.79700000000003</v>
      </c>
      <c r="L132">
        <v>-649.678</v>
      </c>
      <c r="M132">
        <v>192.02099999999999</v>
      </c>
      <c r="N132">
        <v>3.4232</v>
      </c>
      <c r="O132">
        <v>7.4000000000000003E-3</v>
      </c>
      <c r="P132">
        <v>7.9569000000000001</v>
      </c>
      <c r="Q132">
        <v>5.6314000000000002</v>
      </c>
      <c r="R132">
        <v>7.8987999999999996</v>
      </c>
      <c r="S132">
        <v>7.1443000000000003</v>
      </c>
      <c r="T132">
        <v>5.8799999999999998E-2</v>
      </c>
      <c r="U132">
        <v>10.034000000000001</v>
      </c>
      <c r="V132">
        <v>6029</v>
      </c>
      <c r="W132">
        <v>3.1568000000000001</v>
      </c>
    </row>
    <row r="133" spans="1:23" x14ac:dyDescent="0.3">
      <c r="A133">
        <v>2010</v>
      </c>
      <c r="B133" t="s">
        <v>38</v>
      </c>
      <c r="C133" t="s">
        <v>39</v>
      </c>
      <c r="D133">
        <v>8.9499999999999993</v>
      </c>
      <c r="E133">
        <v>3326.4450000000002</v>
      </c>
      <c r="F133">
        <v>1176.923</v>
      </c>
      <c r="G133">
        <v>-67.986999999999995</v>
      </c>
      <c r="H133">
        <v>-0.03</v>
      </c>
      <c r="I133">
        <v>97.718900000000005</v>
      </c>
      <c r="J133">
        <v>2665.14</v>
      </c>
      <c r="K133">
        <v>487.80700000000002</v>
      </c>
      <c r="L133">
        <v>-519.33299999999997</v>
      </c>
      <c r="M133">
        <v>61.058999999999997</v>
      </c>
      <c r="N133">
        <v>3.1627999999999998</v>
      </c>
      <c r="O133">
        <v>9.1999999999999998E-3</v>
      </c>
      <c r="P133">
        <v>-2.5510000000000002</v>
      </c>
      <c r="Q133">
        <v>-1.8958999999999999</v>
      </c>
      <c r="R133">
        <v>-2.5278</v>
      </c>
      <c r="S133">
        <v>-2.0438000000000001</v>
      </c>
      <c r="T133">
        <v>0.25879999999999997</v>
      </c>
      <c r="U133">
        <v>-3.1261000000000001</v>
      </c>
      <c r="V133">
        <v>5706</v>
      </c>
      <c r="W133">
        <v>1.64</v>
      </c>
    </row>
    <row r="134" spans="1:23" x14ac:dyDescent="0.3">
      <c r="A134">
        <v>2009</v>
      </c>
      <c r="B134" t="s">
        <v>38</v>
      </c>
      <c r="C134" t="s">
        <v>39</v>
      </c>
      <c r="D134">
        <v>10.37</v>
      </c>
      <c r="E134">
        <v>3424.8589999999999</v>
      </c>
      <c r="F134">
        <v>1174.269</v>
      </c>
      <c r="G134">
        <v>-30.041</v>
      </c>
      <c r="H134">
        <v>-1.2500000000000001E-2</v>
      </c>
      <c r="I134">
        <v>114.3228</v>
      </c>
      <c r="J134">
        <v>2394.652</v>
      </c>
      <c r="K134">
        <v>249.36</v>
      </c>
      <c r="L134">
        <v>-209.36699999999999</v>
      </c>
      <c r="M134">
        <v>-349.274</v>
      </c>
      <c r="N134">
        <v>2.7845</v>
      </c>
      <c r="O134">
        <v>1.0699999999999999E-2</v>
      </c>
      <c r="P134">
        <v>-1.2544999999999999</v>
      </c>
      <c r="Q134">
        <v>-0.89659999999999995</v>
      </c>
      <c r="R134">
        <v>-1.2412000000000001</v>
      </c>
      <c r="S134">
        <v>-0.87709999999999999</v>
      </c>
      <c r="T134">
        <v>-7.22E-2</v>
      </c>
      <c r="U134">
        <v>-1.5999000000000001</v>
      </c>
      <c r="V134">
        <v>5420</v>
      </c>
      <c r="W134">
        <v>-0.35549999999999998</v>
      </c>
    </row>
    <row r="135" spans="1:23" x14ac:dyDescent="0.3">
      <c r="A135">
        <v>2022</v>
      </c>
      <c r="B135" t="s">
        <v>40</v>
      </c>
      <c r="C135" t="s">
        <v>39</v>
      </c>
      <c r="D135">
        <v>109.08</v>
      </c>
      <c r="E135">
        <v>63054</v>
      </c>
      <c r="F135">
        <v>26866</v>
      </c>
      <c r="G135">
        <v>8014</v>
      </c>
      <c r="H135">
        <v>1.94</v>
      </c>
      <c r="I135">
        <v>15369</v>
      </c>
      <c r="J135">
        <v>103286</v>
      </c>
      <c r="K135">
        <v>15433</v>
      </c>
      <c r="L135">
        <v>-10477</v>
      </c>
      <c r="M135">
        <v>1361</v>
      </c>
      <c r="N135">
        <v>1.5676000000000001</v>
      </c>
      <c r="O135">
        <v>0.40710000000000002</v>
      </c>
      <c r="P135">
        <v>7.7618999999999998</v>
      </c>
      <c r="Q135">
        <v>4.4024999999999999</v>
      </c>
      <c r="R135">
        <v>5.6870000000000003</v>
      </c>
      <c r="S135">
        <v>12.7097</v>
      </c>
      <c r="T135">
        <v>-4.5640000000000001</v>
      </c>
      <c r="U135">
        <v>11.506</v>
      </c>
      <c r="V135">
        <v>131900</v>
      </c>
      <c r="W135">
        <v>8.0028000000000006</v>
      </c>
    </row>
    <row r="136" spans="1:23" x14ac:dyDescent="0.3">
      <c r="A136">
        <v>2021</v>
      </c>
      <c r="B136" t="s">
        <v>40</v>
      </c>
      <c r="C136" t="s">
        <v>39</v>
      </c>
      <c r="D136">
        <v>209.45</v>
      </c>
      <c r="E136">
        <v>79024</v>
      </c>
      <c r="F136">
        <v>43815</v>
      </c>
      <c r="G136">
        <v>19868</v>
      </c>
      <c r="H136">
        <v>4.8600000000000003</v>
      </c>
      <c r="I136">
        <v>31248</v>
      </c>
      <c r="J136">
        <v>95391</v>
      </c>
      <c r="K136">
        <v>29456</v>
      </c>
      <c r="L136">
        <v>-24449</v>
      </c>
      <c r="M136">
        <v>-6045</v>
      </c>
      <c r="N136">
        <v>2.1322999999999999</v>
      </c>
      <c r="O136">
        <v>0.39939999999999998</v>
      </c>
      <c r="P136">
        <v>20.827999999999999</v>
      </c>
      <c r="Q136">
        <v>11.797700000000001</v>
      </c>
      <c r="R136">
        <v>15.413399999999999</v>
      </c>
      <c r="S136">
        <v>25.1417</v>
      </c>
      <c r="T136">
        <v>-2.8277999999999999</v>
      </c>
      <c r="U136">
        <v>32.486400000000003</v>
      </c>
      <c r="V136">
        <v>121100</v>
      </c>
      <c r="W136">
        <v>4.6978999999999997</v>
      </c>
    </row>
    <row r="137" spans="1:23" x14ac:dyDescent="0.3">
      <c r="A137">
        <v>2020</v>
      </c>
      <c r="B137" t="s">
        <v>40</v>
      </c>
      <c r="C137" t="s">
        <v>39</v>
      </c>
      <c r="D137">
        <v>104.16</v>
      </c>
      <c r="E137">
        <v>77867</v>
      </c>
      <c r="F137">
        <v>43612</v>
      </c>
      <c r="G137">
        <v>20899</v>
      </c>
      <c r="H137">
        <v>4.9400000000000004</v>
      </c>
      <c r="I137">
        <v>35917</v>
      </c>
      <c r="J137">
        <v>81038</v>
      </c>
      <c r="K137">
        <v>35864</v>
      </c>
      <c r="L137">
        <v>-21524</v>
      </c>
      <c r="M137">
        <v>-12669</v>
      </c>
      <c r="N137">
        <v>1.9087000000000001</v>
      </c>
      <c r="O137">
        <v>0.44919999999999999</v>
      </c>
      <c r="P137">
        <v>25.789100000000001</v>
      </c>
      <c r="Q137">
        <v>13.651400000000001</v>
      </c>
      <c r="R137">
        <v>18.183299999999999</v>
      </c>
      <c r="S137">
        <v>26.839400000000001</v>
      </c>
      <c r="T137">
        <v>1.2739</v>
      </c>
      <c r="U137">
        <v>46.4</v>
      </c>
      <c r="V137">
        <v>110600</v>
      </c>
      <c r="W137">
        <v>1.2336</v>
      </c>
    </row>
    <row r="138" spans="1:23" x14ac:dyDescent="0.3">
      <c r="A138">
        <v>2019</v>
      </c>
      <c r="B138" t="s">
        <v>40</v>
      </c>
      <c r="C138" t="s">
        <v>39</v>
      </c>
      <c r="D138">
        <v>260.35000000000002</v>
      </c>
      <c r="E138">
        <v>71965</v>
      </c>
      <c r="F138">
        <v>42140</v>
      </c>
      <c r="G138">
        <v>21048</v>
      </c>
      <c r="H138">
        <v>4.71</v>
      </c>
      <c r="I138">
        <v>32861</v>
      </c>
      <c r="J138">
        <v>77504</v>
      </c>
      <c r="K138">
        <v>33145</v>
      </c>
      <c r="L138">
        <v>-14405</v>
      </c>
      <c r="M138">
        <v>-17565</v>
      </c>
      <c r="N138">
        <v>1.4001999999999999</v>
      </c>
      <c r="O138">
        <v>0.37419999999999998</v>
      </c>
      <c r="P138">
        <v>27.157299999999999</v>
      </c>
      <c r="Q138">
        <v>15.4171</v>
      </c>
      <c r="R138">
        <v>20.472300000000001</v>
      </c>
      <c r="S138">
        <v>29.247599999999998</v>
      </c>
      <c r="T138">
        <v>0.75390000000000001</v>
      </c>
      <c r="U138">
        <v>52.097700000000003</v>
      </c>
      <c r="V138">
        <v>110800</v>
      </c>
      <c r="W138">
        <v>1.8122</v>
      </c>
    </row>
    <row r="139" spans="1:23" x14ac:dyDescent="0.3">
      <c r="A139">
        <v>2018</v>
      </c>
      <c r="B139" t="s">
        <v>40</v>
      </c>
      <c r="C139" t="s">
        <v>39</v>
      </c>
      <c r="D139">
        <v>214.19</v>
      </c>
      <c r="E139">
        <v>70848</v>
      </c>
      <c r="F139">
        <v>43737</v>
      </c>
      <c r="G139">
        <v>21053</v>
      </c>
      <c r="H139">
        <v>4.4800000000000004</v>
      </c>
      <c r="I139">
        <v>32401</v>
      </c>
      <c r="J139">
        <v>74563</v>
      </c>
      <c r="K139">
        <v>29432</v>
      </c>
      <c r="L139">
        <v>-11239</v>
      </c>
      <c r="M139">
        <v>-18607</v>
      </c>
      <c r="N139">
        <v>1.7314000000000001</v>
      </c>
      <c r="O139">
        <v>0.35349999999999998</v>
      </c>
      <c r="P139">
        <v>28.235199999999999</v>
      </c>
      <c r="Q139">
        <v>16.452400000000001</v>
      </c>
      <c r="R139">
        <v>21.124600000000001</v>
      </c>
      <c r="S139">
        <v>29.715699999999998</v>
      </c>
      <c r="T139">
        <v>0.89459999999999995</v>
      </c>
      <c r="U139">
        <v>55.092399999999998</v>
      </c>
      <c r="V139">
        <v>107400</v>
      </c>
      <c r="W139">
        <v>2.4426000000000001</v>
      </c>
    </row>
    <row r="140" spans="1:23" x14ac:dyDescent="0.3">
      <c r="A140">
        <v>2017</v>
      </c>
      <c r="B140" t="s">
        <v>40</v>
      </c>
      <c r="C140" t="s">
        <v>39</v>
      </c>
      <c r="D140">
        <v>216.03</v>
      </c>
      <c r="E140">
        <v>62761</v>
      </c>
      <c r="F140">
        <v>39098</v>
      </c>
      <c r="G140">
        <v>9601</v>
      </c>
      <c r="H140">
        <v>1.99</v>
      </c>
      <c r="I140">
        <v>26179</v>
      </c>
      <c r="J140">
        <v>69019</v>
      </c>
      <c r="K140">
        <v>22110</v>
      </c>
      <c r="L140">
        <v>-15762</v>
      </c>
      <c r="M140">
        <v>-8475</v>
      </c>
      <c r="N140">
        <v>1.6934</v>
      </c>
      <c r="O140">
        <v>0.38850000000000001</v>
      </c>
      <c r="P140">
        <v>13.9107</v>
      </c>
      <c r="Q140">
        <v>7.7899000000000003</v>
      </c>
      <c r="R140">
        <v>10.207800000000001</v>
      </c>
      <c r="S140">
        <v>15.297700000000001</v>
      </c>
      <c r="T140">
        <v>-0.36220000000000002</v>
      </c>
      <c r="U140">
        <v>30.1113</v>
      </c>
      <c r="V140">
        <v>102700</v>
      </c>
      <c r="W140">
        <v>2.1301000000000001</v>
      </c>
    </row>
    <row r="141" spans="1:23" x14ac:dyDescent="0.3">
      <c r="A141">
        <v>2016</v>
      </c>
      <c r="B141" t="s">
        <v>40</v>
      </c>
      <c r="C141" t="s">
        <v>39</v>
      </c>
      <c r="D141">
        <v>171.88</v>
      </c>
      <c r="E141">
        <v>59387</v>
      </c>
      <c r="F141">
        <v>36233</v>
      </c>
      <c r="G141">
        <v>10316</v>
      </c>
      <c r="H141">
        <v>2.12</v>
      </c>
      <c r="I141">
        <v>20923</v>
      </c>
      <c r="J141">
        <v>66226</v>
      </c>
      <c r="K141">
        <v>21808</v>
      </c>
      <c r="L141">
        <v>-25817</v>
      </c>
      <c r="M141">
        <v>-5739</v>
      </c>
      <c r="N141">
        <v>1.7490000000000001</v>
      </c>
      <c r="O141">
        <v>0.38179999999999997</v>
      </c>
      <c r="P141">
        <v>15.577</v>
      </c>
      <c r="Q141">
        <v>9.1029</v>
      </c>
      <c r="R141">
        <v>11.874499999999999</v>
      </c>
      <c r="S141">
        <v>17.370799999999999</v>
      </c>
      <c r="T141">
        <v>0.1101</v>
      </c>
      <c r="U141">
        <v>24.197199999999999</v>
      </c>
      <c r="V141">
        <v>106000</v>
      </c>
      <c r="W141">
        <v>1.2616000000000001</v>
      </c>
    </row>
    <row r="142" spans="1:23" x14ac:dyDescent="0.3">
      <c r="A142">
        <v>2015</v>
      </c>
      <c r="B142" t="s">
        <v>40</v>
      </c>
      <c r="C142" t="s">
        <v>39</v>
      </c>
      <c r="D142">
        <v>162.57</v>
      </c>
      <c r="E142">
        <v>55355</v>
      </c>
      <c r="F142">
        <v>34679</v>
      </c>
      <c r="G142">
        <v>11420</v>
      </c>
      <c r="H142">
        <v>2.33</v>
      </c>
      <c r="I142">
        <v>22713</v>
      </c>
      <c r="J142">
        <v>61085</v>
      </c>
      <c r="K142">
        <v>19018</v>
      </c>
      <c r="L142">
        <v>-8183</v>
      </c>
      <c r="M142">
        <v>1912</v>
      </c>
      <c r="N142">
        <v>2.4491999999999998</v>
      </c>
      <c r="O142">
        <v>0.37109999999999999</v>
      </c>
      <c r="P142">
        <v>18.6953</v>
      </c>
      <c r="Q142">
        <v>11.255800000000001</v>
      </c>
      <c r="R142">
        <v>14.0777</v>
      </c>
      <c r="S142">
        <v>20.630500000000001</v>
      </c>
      <c r="T142">
        <v>0.34920000000000001</v>
      </c>
      <c r="U142">
        <v>24.9236</v>
      </c>
      <c r="V142">
        <v>107300</v>
      </c>
      <c r="W142">
        <v>0.1186</v>
      </c>
    </row>
    <row r="143" spans="1:23" x14ac:dyDescent="0.3">
      <c r="A143">
        <v>2014</v>
      </c>
      <c r="B143" t="s">
        <v>40</v>
      </c>
      <c r="C143" t="s">
        <v>39</v>
      </c>
      <c r="D143">
        <v>175.46</v>
      </c>
      <c r="E143">
        <v>55870</v>
      </c>
      <c r="F143">
        <v>35609</v>
      </c>
      <c r="G143">
        <v>11704</v>
      </c>
      <c r="H143">
        <v>2.31</v>
      </c>
      <c r="I143">
        <v>23896</v>
      </c>
      <c r="J143">
        <v>55865</v>
      </c>
      <c r="K143">
        <v>20418</v>
      </c>
      <c r="L143">
        <v>-9905</v>
      </c>
      <c r="M143">
        <v>-13611</v>
      </c>
      <c r="N143">
        <v>1.7319</v>
      </c>
      <c r="O143">
        <v>0.24440000000000001</v>
      </c>
      <c r="P143">
        <v>20.950500000000002</v>
      </c>
      <c r="Q143">
        <v>12.7356</v>
      </c>
      <c r="R143">
        <v>17.231000000000002</v>
      </c>
      <c r="S143">
        <v>20.948599999999999</v>
      </c>
      <c r="T143">
        <v>6.5100000000000005E-2</v>
      </c>
      <c r="U143">
        <v>28.857399999999998</v>
      </c>
      <c r="V143">
        <v>106700</v>
      </c>
      <c r="W143">
        <v>1.6222000000000001</v>
      </c>
    </row>
    <row r="144" spans="1:23" x14ac:dyDescent="0.3">
      <c r="A144">
        <v>2013</v>
      </c>
      <c r="B144" t="s">
        <v>40</v>
      </c>
      <c r="C144" t="s">
        <v>39</v>
      </c>
      <c r="D144">
        <v>129.02000000000001</v>
      </c>
      <c r="E144">
        <v>52708</v>
      </c>
      <c r="F144">
        <v>31521</v>
      </c>
      <c r="G144">
        <v>9620</v>
      </c>
      <c r="H144">
        <v>1.89</v>
      </c>
      <c r="I144">
        <v>20323</v>
      </c>
      <c r="J144">
        <v>58256</v>
      </c>
      <c r="K144">
        <v>20776</v>
      </c>
      <c r="L144">
        <v>-18073</v>
      </c>
      <c r="M144">
        <v>-5498</v>
      </c>
      <c r="N144">
        <v>2.3647</v>
      </c>
      <c r="O144">
        <v>0.23080000000000001</v>
      </c>
      <c r="P144">
        <v>16.513300000000001</v>
      </c>
      <c r="Q144">
        <v>10.416</v>
      </c>
      <c r="R144">
        <v>13.4694</v>
      </c>
      <c r="S144">
        <v>18.2515</v>
      </c>
      <c r="T144">
        <v>0.45200000000000001</v>
      </c>
      <c r="U144">
        <v>22.585899999999999</v>
      </c>
      <c r="V144">
        <v>107600</v>
      </c>
      <c r="W144">
        <v>1.4648000000000001</v>
      </c>
    </row>
    <row r="145" spans="1:23" x14ac:dyDescent="0.3">
      <c r="A145">
        <v>2012</v>
      </c>
      <c r="B145" t="s">
        <v>40</v>
      </c>
      <c r="C145" t="s">
        <v>39</v>
      </c>
      <c r="D145">
        <v>102.61</v>
      </c>
      <c r="E145">
        <v>53341</v>
      </c>
      <c r="F145">
        <v>33151</v>
      </c>
      <c r="G145">
        <v>11005</v>
      </c>
      <c r="H145">
        <v>2.13</v>
      </c>
      <c r="I145">
        <v>22160</v>
      </c>
      <c r="J145">
        <v>51203</v>
      </c>
      <c r="K145">
        <v>18884</v>
      </c>
      <c r="L145">
        <v>-14060</v>
      </c>
      <c r="M145">
        <v>-1408</v>
      </c>
      <c r="N145">
        <v>2.4312</v>
      </c>
      <c r="O145">
        <v>0.2626</v>
      </c>
      <c r="P145">
        <v>21.492899999999999</v>
      </c>
      <c r="Q145">
        <v>13.0467</v>
      </c>
      <c r="R145">
        <v>17.104700000000001</v>
      </c>
      <c r="S145">
        <v>20.631399999999999</v>
      </c>
      <c r="T145">
        <v>-0.36220000000000002</v>
      </c>
      <c r="U145">
        <v>31.212800000000001</v>
      </c>
      <c r="V145">
        <v>105000</v>
      </c>
      <c r="W145">
        <v>2.0693000000000001</v>
      </c>
    </row>
    <row r="146" spans="1:23" x14ac:dyDescent="0.3">
      <c r="A146">
        <v>2011</v>
      </c>
      <c r="B146" t="s">
        <v>40</v>
      </c>
      <c r="C146" t="s">
        <v>39</v>
      </c>
      <c r="D146">
        <v>123.48</v>
      </c>
      <c r="E146">
        <v>53999</v>
      </c>
      <c r="F146">
        <v>33757</v>
      </c>
      <c r="G146">
        <v>12942</v>
      </c>
      <c r="H146">
        <v>2.39</v>
      </c>
      <c r="I146">
        <v>23541</v>
      </c>
      <c r="J146">
        <v>45911</v>
      </c>
      <c r="K146">
        <v>20963</v>
      </c>
      <c r="L146">
        <v>-10301</v>
      </c>
      <c r="M146">
        <v>-11100</v>
      </c>
      <c r="N146">
        <v>2.1509999999999998</v>
      </c>
      <c r="O146">
        <v>0.15970000000000001</v>
      </c>
      <c r="P146">
        <v>28.189299999999999</v>
      </c>
      <c r="Q146">
        <v>18.197700000000001</v>
      </c>
      <c r="R146">
        <v>24.421199999999999</v>
      </c>
      <c r="S146">
        <v>23.967099999999999</v>
      </c>
      <c r="T146">
        <v>-0.13139999999999999</v>
      </c>
      <c r="U146">
        <v>42.586399999999998</v>
      </c>
      <c r="V146">
        <v>100100</v>
      </c>
      <c r="W146">
        <v>3.1568000000000001</v>
      </c>
    </row>
    <row r="147" spans="1:23" x14ac:dyDescent="0.3">
      <c r="A147">
        <v>2010</v>
      </c>
      <c r="B147" t="s">
        <v>40</v>
      </c>
      <c r="C147" t="s">
        <v>39</v>
      </c>
      <c r="D147">
        <v>117.31</v>
      </c>
      <c r="E147">
        <v>43623</v>
      </c>
      <c r="F147">
        <v>28491</v>
      </c>
      <c r="G147">
        <v>11464</v>
      </c>
      <c r="H147">
        <v>2.0099999999999998</v>
      </c>
      <c r="I147">
        <v>20226</v>
      </c>
      <c r="J147">
        <v>49430</v>
      </c>
      <c r="K147">
        <v>16692</v>
      </c>
      <c r="L147">
        <v>-10539</v>
      </c>
      <c r="M147">
        <v>-4642</v>
      </c>
      <c r="N147">
        <v>3.3892000000000002</v>
      </c>
      <c r="O147">
        <v>4.2799999999999998E-2</v>
      </c>
      <c r="P147">
        <v>23.192399999999999</v>
      </c>
      <c r="Q147">
        <v>18.1433</v>
      </c>
      <c r="R147">
        <v>22.257200000000001</v>
      </c>
      <c r="S147">
        <v>26.279699999999998</v>
      </c>
      <c r="T147">
        <v>0.83740000000000003</v>
      </c>
      <c r="U147">
        <v>26.031500000000001</v>
      </c>
      <c r="V147">
        <v>82500</v>
      </c>
      <c r="W147">
        <v>1.64</v>
      </c>
    </row>
    <row r="148" spans="1:23" x14ac:dyDescent="0.3">
      <c r="A148">
        <v>2009</v>
      </c>
      <c r="B148" t="s">
        <v>40</v>
      </c>
      <c r="C148" t="s">
        <v>39</v>
      </c>
      <c r="D148">
        <v>112.65</v>
      </c>
      <c r="E148">
        <v>35127</v>
      </c>
      <c r="F148">
        <v>19561</v>
      </c>
      <c r="G148">
        <v>4369</v>
      </c>
      <c r="H148">
        <v>0.77</v>
      </c>
      <c r="I148">
        <v>10763</v>
      </c>
      <c r="J148">
        <v>41704</v>
      </c>
      <c r="K148">
        <v>11170</v>
      </c>
      <c r="L148">
        <v>-7965</v>
      </c>
      <c r="M148">
        <v>-2568</v>
      </c>
      <c r="N148">
        <v>2.7871000000000001</v>
      </c>
      <c r="O148">
        <v>5.33E-2</v>
      </c>
      <c r="P148">
        <v>10.4762</v>
      </c>
      <c r="Q148">
        <v>8.2286000000000001</v>
      </c>
      <c r="R148">
        <v>9.9855999999999998</v>
      </c>
      <c r="S148">
        <v>12.4377</v>
      </c>
      <c r="T148">
        <v>1.1789000000000001</v>
      </c>
      <c r="U148">
        <v>11.718500000000001</v>
      </c>
      <c r="V148">
        <v>79800</v>
      </c>
      <c r="W148">
        <v>-0.35549999999999998</v>
      </c>
    </row>
    <row r="149" spans="1:23" x14ac:dyDescent="0.3">
      <c r="A149">
        <v>2022</v>
      </c>
      <c r="B149" t="s">
        <v>41</v>
      </c>
      <c r="C149" t="s">
        <v>42</v>
      </c>
      <c r="D149">
        <v>856.94</v>
      </c>
      <c r="E149">
        <v>513983</v>
      </c>
      <c r="F149">
        <v>225152</v>
      </c>
      <c r="G149">
        <v>-2722</v>
      </c>
      <c r="H149">
        <v>-0.27</v>
      </c>
      <c r="I149">
        <v>54169</v>
      </c>
      <c r="J149">
        <v>146043</v>
      </c>
      <c r="K149">
        <v>46752</v>
      </c>
      <c r="L149">
        <v>-37601</v>
      </c>
      <c r="M149">
        <v>9718</v>
      </c>
      <c r="N149">
        <v>0.9446</v>
      </c>
      <c r="O149">
        <v>0.45979999999999999</v>
      </c>
      <c r="P149">
        <v>-1.8637999999999999</v>
      </c>
      <c r="Q149">
        <v>-0.58830000000000005</v>
      </c>
      <c r="R149">
        <v>-1.2767999999999999</v>
      </c>
      <c r="S149">
        <v>-0.52959999999999996</v>
      </c>
      <c r="T149">
        <v>-0.25459999999999999</v>
      </c>
      <c r="U149">
        <v>-2.1644999999999999</v>
      </c>
      <c r="V149">
        <v>1541000</v>
      </c>
      <c r="W149">
        <v>8.0028000000000006</v>
      </c>
    </row>
    <row r="150" spans="1:23" x14ac:dyDescent="0.3">
      <c r="A150">
        <v>2021</v>
      </c>
      <c r="B150" t="s">
        <v>41</v>
      </c>
      <c r="C150" t="s">
        <v>42</v>
      </c>
      <c r="D150">
        <v>1691</v>
      </c>
      <c r="E150">
        <v>469822</v>
      </c>
      <c r="F150">
        <v>197478</v>
      </c>
      <c r="G150">
        <v>33364</v>
      </c>
      <c r="H150">
        <v>3.24</v>
      </c>
      <c r="I150">
        <v>59312</v>
      </c>
      <c r="J150">
        <v>138245</v>
      </c>
      <c r="K150">
        <v>46327</v>
      </c>
      <c r="L150">
        <v>-58154</v>
      </c>
      <c r="M150">
        <v>6291</v>
      </c>
      <c r="N150">
        <v>1.1357999999999999</v>
      </c>
      <c r="O150">
        <v>0.35260000000000002</v>
      </c>
      <c r="P150">
        <v>24.134</v>
      </c>
      <c r="Q150">
        <v>7.9333999999999998</v>
      </c>
      <c r="R150">
        <v>17.8428</v>
      </c>
      <c r="S150">
        <v>7.1013999999999999</v>
      </c>
      <c r="T150">
        <v>-3.9226000000000001</v>
      </c>
      <c r="U150">
        <v>27.152999999999999</v>
      </c>
      <c r="V150">
        <v>1608000</v>
      </c>
      <c r="W150">
        <v>4.6978999999999997</v>
      </c>
    </row>
    <row r="151" spans="1:23" x14ac:dyDescent="0.3">
      <c r="A151">
        <v>2020</v>
      </c>
      <c r="B151" t="s">
        <v>41</v>
      </c>
      <c r="C151" t="s">
        <v>42</v>
      </c>
      <c r="D151">
        <v>1634.16</v>
      </c>
      <c r="E151">
        <v>386064</v>
      </c>
      <c r="F151">
        <v>152757</v>
      </c>
      <c r="G151">
        <v>21331</v>
      </c>
      <c r="H151">
        <v>2.09</v>
      </c>
      <c r="I151">
        <v>48079</v>
      </c>
      <c r="J151">
        <v>93404</v>
      </c>
      <c r="K151">
        <v>66064</v>
      </c>
      <c r="L151">
        <v>-59611</v>
      </c>
      <c r="M151">
        <v>-1104</v>
      </c>
      <c r="N151">
        <v>1.0502</v>
      </c>
      <c r="O151">
        <v>0.34060000000000001</v>
      </c>
      <c r="P151">
        <v>22.837399999999999</v>
      </c>
      <c r="Q151">
        <v>6.6410999999999998</v>
      </c>
      <c r="R151">
        <v>17.034800000000001</v>
      </c>
      <c r="S151">
        <v>5.5251999999999999</v>
      </c>
      <c r="T151">
        <v>0.4798</v>
      </c>
      <c r="U151">
        <v>27.212399999999999</v>
      </c>
      <c r="V151">
        <v>1298000</v>
      </c>
      <c r="W151">
        <v>1.2336</v>
      </c>
    </row>
    <row r="152" spans="1:23" x14ac:dyDescent="0.3">
      <c r="A152">
        <v>2019</v>
      </c>
      <c r="B152" t="s">
        <v>41</v>
      </c>
      <c r="C152" t="s">
        <v>42</v>
      </c>
      <c r="D152">
        <v>916.15</v>
      </c>
      <c r="E152">
        <v>280522</v>
      </c>
      <c r="F152">
        <v>114986</v>
      </c>
      <c r="G152">
        <v>11588</v>
      </c>
      <c r="H152">
        <v>1.1505000000000001</v>
      </c>
      <c r="I152">
        <v>36330</v>
      </c>
      <c r="J152">
        <v>62060</v>
      </c>
      <c r="K152">
        <v>38514</v>
      </c>
      <c r="L152">
        <v>-24281</v>
      </c>
      <c r="M152">
        <v>-10066</v>
      </c>
      <c r="N152">
        <v>1.097</v>
      </c>
      <c r="O152">
        <v>0.37730000000000002</v>
      </c>
      <c r="P152">
        <v>18.6723</v>
      </c>
      <c r="Q152">
        <v>5.1445999999999996</v>
      </c>
      <c r="R152">
        <v>13.5573</v>
      </c>
      <c r="S152">
        <v>4.1308999999999996</v>
      </c>
      <c r="T152">
        <v>0.622</v>
      </c>
      <c r="U152">
        <v>24.495799999999999</v>
      </c>
      <c r="V152">
        <v>798000</v>
      </c>
      <c r="W152">
        <v>1.8122</v>
      </c>
    </row>
    <row r="153" spans="1:23" x14ac:dyDescent="0.3">
      <c r="A153">
        <v>2018</v>
      </c>
      <c r="B153" t="s">
        <v>41</v>
      </c>
      <c r="C153" t="s">
        <v>42</v>
      </c>
      <c r="D153">
        <v>734.42</v>
      </c>
      <c r="E153">
        <v>232887</v>
      </c>
      <c r="F153">
        <v>93731</v>
      </c>
      <c r="G153">
        <v>10073</v>
      </c>
      <c r="H153">
        <v>1.0069999999999999</v>
      </c>
      <c r="I153">
        <v>27762</v>
      </c>
      <c r="J153">
        <v>43549</v>
      </c>
      <c r="K153">
        <v>30723</v>
      </c>
      <c r="L153">
        <v>-12369</v>
      </c>
      <c r="M153">
        <v>-7686</v>
      </c>
      <c r="N153">
        <v>1.0981000000000001</v>
      </c>
      <c r="O153">
        <v>0.53949999999999998</v>
      </c>
      <c r="P153">
        <v>23.130299999999998</v>
      </c>
      <c r="Q153">
        <v>6.1931000000000003</v>
      </c>
      <c r="R153">
        <v>15.0245</v>
      </c>
      <c r="S153">
        <v>4.3253000000000004</v>
      </c>
      <c r="T153">
        <v>1.0974999999999999</v>
      </c>
      <c r="U153">
        <v>34.7333</v>
      </c>
      <c r="V153">
        <v>647500</v>
      </c>
      <c r="W153">
        <v>2.4426000000000001</v>
      </c>
    </row>
    <row r="154" spans="1:23" x14ac:dyDescent="0.3">
      <c r="A154">
        <v>2017</v>
      </c>
      <c r="B154" t="s">
        <v>41</v>
      </c>
      <c r="C154" t="s">
        <v>42</v>
      </c>
      <c r="D154">
        <v>563.54</v>
      </c>
      <c r="E154">
        <v>177866</v>
      </c>
      <c r="F154">
        <v>65932</v>
      </c>
      <c r="G154">
        <v>3033</v>
      </c>
      <c r="H154">
        <v>0.3075</v>
      </c>
      <c r="I154">
        <v>15584</v>
      </c>
      <c r="J154">
        <v>27709</v>
      </c>
      <c r="K154">
        <v>18365</v>
      </c>
      <c r="L154">
        <v>-27084</v>
      </c>
      <c r="M154">
        <v>9928</v>
      </c>
      <c r="N154">
        <v>1.04</v>
      </c>
      <c r="O154">
        <v>0.89300000000000002</v>
      </c>
      <c r="P154">
        <v>10.9459</v>
      </c>
      <c r="Q154">
        <v>2.3098000000000001</v>
      </c>
      <c r="R154">
        <v>5.7824</v>
      </c>
      <c r="S154">
        <v>1.7052</v>
      </c>
      <c r="T154">
        <v>-0.2387</v>
      </c>
      <c r="U154">
        <v>21.122599999999998</v>
      </c>
      <c r="V154">
        <v>566000</v>
      </c>
      <c r="W154">
        <v>2.1301000000000001</v>
      </c>
    </row>
    <row r="155" spans="1:23" x14ac:dyDescent="0.3">
      <c r="A155">
        <v>2016</v>
      </c>
      <c r="B155" t="s">
        <v>41</v>
      </c>
      <c r="C155" t="s">
        <v>42</v>
      </c>
      <c r="D155">
        <v>356.31</v>
      </c>
      <c r="E155">
        <v>135987</v>
      </c>
      <c r="F155">
        <v>47722</v>
      </c>
      <c r="G155">
        <v>2371</v>
      </c>
      <c r="H155">
        <v>0.245</v>
      </c>
      <c r="I155">
        <v>12302</v>
      </c>
      <c r="J155">
        <v>19285</v>
      </c>
      <c r="K155">
        <v>17203</v>
      </c>
      <c r="L155">
        <v>-9516</v>
      </c>
      <c r="M155">
        <v>-3716</v>
      </c>
      <c r="N155">
        <v>1.0448</v>
      </c>
      <c r="O155">
        <v>0.39900000000000002</v>
      </c>
      <c r="P155">
        <v>12.294499999999999</v>
      </c>
      <c r="Q155">
        <v>2.8429000000000002</v>
      </c>
      <c r="R155">
        <v>8.7882999999999996</v>
      </c>
      <c r="S155">
        <v>1.7435</v>
      </c>
      <c r="T155">
        <v>0.30030000000000001</v>
      </c>
      <c r="U155">
        <v>15.2958</v>
      </c>
      <c r="V155">
        <v>341400</v>
      </c>
      <c r="W155">
        <v>1.2616000000000001</v>
      </c>
    </row>
    <row r="156" spans="1:23" x14ac:dyDescent="0.3">
      <c r="A156">
        <v>2015</v>
      </c>
      <c r="B156" t="s">
        <v>41</v>
      </c>
      <c r="C156" t="s">
        <v>42</v>
      </c>
      <c r="D156">
        <v>316.83</v>
      </c>
      <c r="E156">
        <v>107006</v>
      </c>
      <c r="F156">
        <v>35355</v>
      </c>
      <c r="G156">
        <v>596</v>
      </c>
      <c r="H156">
        <v>6.25E-2</v>
      </c>
      <c r="I156">
        <v>8514</v>
      </c>
      <c r="J156">
        <v>13384</v>
      </c>
      <c r="K156">
        <v>12039</v>
      </c>
      <c r="L156">
        <v>-6450</v>
      </c>
      <c r="M156">
        <v>-3882</v>
      </c>
      <c r="N156">
        <v>1.0536000000000001</v>
      </c>
      <c r="O156">
        <v>0.61470000000000002</v>
      </c>
      <c r="P156">
        <v>4.4531000000000001</v>
      </c>
      <c r="Q156">
        <v>0.92049999999999998</v>
      </c>
      <c r="R156">
        <v>2.7578999999999998</v>
      </c>
      <c r="S156">
        <v>0.55700000000000005</v>
      </c>
      <c r="T156">
        <v>0.56999999999999995</v>
      </c>
      <c r="U156">
        <v>6.1921999999999997</v>
      </c>
      <c r="V156">
        <v>230800</v>
      </c>
      <c r="W156">
        <v>0.1186</v>
      </c>
    </row>
    <row r="157" spans="1:23" x14ac:dyDescent="0.3">
      <c r="A157">
        <v>2014</v>
      </c>
      <c r="B157" t="s">
        <v>41</v>
      </c>
      <c r="C157" t="s">
        <v>42</v>
      </c>
      <c r="D157">
        <v>143.69999999999999</v>
      </c>
      <c r="E157">
        <v>88988</v>
      </c>
      <c r="F157">
        <v>26236</v>
      </c>
      <c r="G157">
        <v>-241</v>
      </c>
      <c r="H157">
        <v>-2.5999999999999999E-2</v>
      </c>
      <c r="I157">
        <v>4924</v>
      </c>
      <c r="J157">
        <v>10741</v>
      </c>
      <c r="K157">
        <v>6842</v>
      </c>
      <c r="L157">
        <v>-5065</v>
      </c>
      <c r="M157">
        <v>4432</v>
      </c>
      <c r="N157">
        <v>1.1153</v>
      </c>
      <c r="O157">
        <v>0.76949999999999996</v>
      </c>
      <c r="P157">
        <v>-2.2437</v>
      </c>
      <c r="Q157">
        <v>-0.44219999999999998</v>
      </c>
      <c r="R157">
        <v>-1.268</v>
      </c>
      <c r="S157">
        <v>-0.27079999999999999</v>
      </c>
      <c r="T157">
        <v>-7.4999999999999997E-3</v>
      </c>
      <c r="U157">
        <v>-3.2471000000000001</v>
      </c>
      <c r="V157">
        <v>154100</v>
      </c>
      <c r="W157">
        <v>1.6222000000000001</v>
      </c>
    </row>
    <row r="158" spans="1:23" x14ac:dyDescent="0.3">
      <c r="A158">
        <v>2013</v>
      </c>
      <c r="B158" t="s">
        <v>41</v>
      </c>
      <c r="C158" t="s">
        <v>42</v>
      </c>
      <c r="D158">
        <v>182.54</v>
      </c>
      <c r="E158">
        <v>74452</v>
      </c>
      <c r="F158">
        <v>20271</v>
      </c>
      <c r="G158">
        <v>274</v>
      </c>
      <c r="H158">
        <v>2.9499999999999998E-2</v>
      </c>
      <c r="I158">
        <v>3998</v>
      </c>
      <c r="J158">
        <v>9746</v>
      </c>
      <c r="K158">
        <v>5475</v>
      </c>
      <c r="L158">
        <v>-4276</v>
      </c>
      <c r="M158">
        <v>-539</v>
      </c>
      <c r="N158">
        <v>1.0716000000000001</v>
      </c>
      <c r="O158">
        <v>0.32740000000000002</v>
      </c>
      <c r="P158">
        <v>2.8113999999999999</v>
      </c>
      <c r="Q158">
        <v>0.68230000000000002</v>
      </c>
      <c r="R158">
        <v>2.1179999999999999</v>
      </c>
      <c r="S158">
        <v>0.36799999999999999</v>
      </c>
      <c r="T158">
        <v>0.17480000000000001</v>
      </c>
      <c r="U158">
        <v>3.8641000000000001</v>
      </c>
      <c r="V158">
        <v>117300</v>
      </c>
      <c r="W158">
        <v>1.4648000000000001</v>
      </c>
    </row>
    <row r="159" spans="1:23" x14ac:dyDescent="0.3">
      <c r="A159">
        <v>2012</v>
      </c>
      <c r="B159" t="s">
        <v>41</v>
      </c>
      <c r="C159" t="s">
        <v>42</v>
      </c>
      <c r="D159">
        <v>113.63</v>
      </c>
      <c r="E159">
        <v>61093</v>
      </c>
      <c r="F159">
        <v>15122</v>
      </c>
      <c r="G159">
        <v>-39</v>
      </c>
      <c r="H159">
        <v>-4.4999999999999997E-3</v>
      </c>
      <c r="I159">
        <v>2835</v>
      </c>
      <c r="J159">
        <v>8192</v>
      </c>
      <c r="K159">
        <v>4180</v>
      </c>
      <c r="L159">
        <v>-3595</v>
      </c>
      <c r="M159">
        <v>2259</v>
      </c>
      <c r="N159">
        <v>1.1207</v>
      </c>
      <c r="O159">
        <v>0.3765</v>
      </c>
      <c r="P159">
        <v>-0.47610000000000002</v>
      </c>
      <c r="Q159">
        <v>-0.1198</v>
      </c>
      <c r="R159">
        <v>-0.34589999999999999</v>
      </c>
      <c r="S159">
        <v>-6.3799999999999996E-2</v>
      </c>
      <c r="T159">
        <v>-0.18329999999999999</v>
      </c>
      <c r="U159">
        <v>-0.6915</v>
      </c>
      <c r="V159">
        <v>88400</v>
      </c>
      <c r="W159">
        <v>2.0693000000000001</v>
      </c>
    </row>
    <row r="160" spans="1:23" x14ac:dyDescent="0.3">
      <c r="A160">
        <v>2011</v>
      </c>
      <c r="B160" t="s">
        <v>41</v>
      </c>
      <c r="C160" t="s">
        <v>42</v>
      </c>
      <c r="D160">
        <v>78.72</v>
      </c>
      <c r="E160">
        <v>48077</v>
      </c>
      <c r="F160">
        <v>10789</v>
      </c>
      <c r="G160">
        <v>631</v>
      </c>
      <c r="H160">
        <v>6.8500000000000005E-2</v>
      </c>
      <c r="I160">
        <v>1945</v>
      </c>
      <c r="J160">
        <v>7757</v>
      </c>
      <c r="K160">
        <v>3903</v>
      </c>
      <c r="L160">
        <v>-1930</v>
      </c>
      <c r="M160">
        <v>-482</v>
      </c>
      <c r="N160">
        <v>1.1740999999999999</v>
      </c>
      <c r="O160">
        <v>3.2899999999999999E-2</v>
      </c>
      <c r="P160">
        <v>8.1346000000000007</v>
      </c>
      <c r="Q160">
        <v>2.4962</v>
      </c>
      <c r="R160">
        <v>7.8757000000000001</v>
      </c>
      <c r="S160">
        <v>1.3125</v>
      </c>
      <c r="T160">
        <v>-4.9000000000000002E-2</v>
      </c>
      <c r="U160">
        <v>10.8756</v>
      </c>
      <c r="V160">
        <v>56200</v>
      </c>
      <c r="W160">
        <v>3.1568000000000001</v>
      </c>
    </row>
    <row r="161" spans="1:23" x14ac:dyDescent="0.3">
      <c r="A161">
        <v>2010</v>
      </c>
      <c r="B161" t="s">
        <v>41</v>
      </c>
      <c r="C161" t="s">
        <v>42</v>
      </c>
      <c r="D161">
        <v>80.790000000000006</v>
      </c>
      <c r="E161">
        <v>34204</v>
      </c>
      <c r="F161">
        <v>7643</v>
      </c>
      <c r="G161">
        <v>1152</v>
      </c>
      <c r="H161">
        <v>0.1265</v>
      </c>
      <c r="I161">
        <v>1974</v>
      </c>
      <c r="J161">
        <v>6864</v>
      </c>
      <c r="K161">
        <v>3495</v>
      </c>
      <c r="L161">
        <v>-3360</v>
      </c>
      <c r="M161">
        <v>181</v>
      </c>
      <c r="N161">
        <v>1.3253999999999999</v>
      </c>
      <c r="O161">
        <v>0.22739999999999999</v>
      </c>
      <c r="P161">
        <v>16.783200000000001</v>
      </c>
      <c r="Q161">
        <v>6.1285999999999996</v>
      </c>
      <c r="R161">
        <v>13.6736</v>
      </c>
      <c r="S161">
        <v>3.3679999999999999</v>
      </c>
      <c r="T161">
        <v>-5.4399999999999997E-2</v>
      </c>
      <c r="U161">
        <v>20.888500000000001</v>
      </c>
      <c r="V161">
        <v>33700</v>
      </c>
      <c r="W161">
        <v>1.64</v>
      </c>
    </row>
    <row r="162" spans="1:23" x14ac:dyDescent="0.3">
      <c r="A162">
        <v>2009</v>
      </c>
      <c r="B162" t="s">
        <v>41</v>
      </c>
      <c r="C162" t="s">
        <v>42</v>
      </c>
      <c r="D162">
        <v>58.24</v>
      </c>
      <c r="E162">
        <v>24509</v>
      </c>
      <c r="F162">
        <v>5531</v>
      </c>
      <c r="G162">
        <v>902</v>
      </c>
      <c r="H162">
        <v>0.10199999999999999</v>
      </c>
      <c r="I162">
        <v>1507</v>
      </c>
      <c r="J162">
        <v>5257</v>
      </c>
      <c r="K162">
        <v>3293</v>
      </c>
      <c r="L162">
        <v>-2337</v>
      </c>
      <c r="M162">
        <v>-280</v>
      </c>
      <c r="N162">
        <v>1.3304</v>
      </c>
      <c r="O162">
        <v>0.20069999999999999</v>
      </c>
      <c r="P162">
        <v>17.158100000000001</v>
      </c>
      <c r="Q162">
        <v>6.5301</v>
      </c>
      <c r="R162">
        <v>17.158100000000001</v>
      </c>
      <c r="S162">
        <v>3.6802999999999999</v>
      </c>
      <c r="T162">
        <v>0.33029999999999998</v>
      </c>
      <c r="U162">
        <v>22.421099999999999</v>
      </c>
      <c r="V162">
        <v>24300</v>
      </c>
      <c r="W162">
        <v>-0.35549999999999998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529F-DC89-435A-A16B-1D69C342A297}">
  <dimension ref="A1:P166"/>
  <sheetViews>
    <sheetView topLeftCell="G1" zoomScale="133" workbookViewId="0">
      <selection sqref="A1:XFD1048576"/>
    </sheetView>
  </sheetViews>
  <sheetFormatPr defaultColWidth="21.5546875" defaultRowHeight="14.4" x14ac:dyDescent="0.3"/>
  <cols>
    <col min="1" max="1" width="14.5546875" bestFit="1" customWidth="1"/>
    <col min="2" max="2" width="5" bestFit="1" customWidth="1"/>
    <col min="3" max="3" width="15.21875" bestFit="1" customWidth="1"/>
    <col min="4" max="4" width="29.77734375" bestFit="1" customWidth="1"/>
    <col min="5" max="5" width="16.21875" bestFit="1" customWidth="1"/>
    <col min="6" max="6" width="24" bestFit="1" customWidth="1"/>
    <col min="7" max="7" width="18.109375" bestFit="1" customWidth="1"/>
    <col min="8" max="8" width="16.77734375" bestFit="1" customWidth="1"/>
    <col min="9" max="9" width="18.5546875" style="4" bestFit="1" customWidth="1"/>
    <col min="10" max="10" width="17.77734375" style="4" bestFit="1" customWidth="1"/>
    <col min="11" max="12" width="7.6640625" bestFit="1" customWidth="1"/>
    <col min="13" max="13" width="21.88671875" bestFit="1" customWidth="1"/>
    <col min="14" max="14" width="18.5546875" bestFit="1" customWidth="1"/>
  </cols>
  <sheetData>
    <row r="1" spans="1:16" x14ac:dyDescent="0.3">
      <c r="A1" t="s">
        <v>43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s="4" t="s">
        <v>70</v>
      </c>
      <c r="J1" s="4" t="s">
        <v>71</v>
      </c>
      <c r="K1" t="s">
        <v>72</v>
      </c>
      <c r="L1" t="s">
        <v>73</v>
      </c>
      <c r="M1" t="s">
        <v>74</v>
      </c>
      <c r="N1" t="s">
        <v>75</v>
      </c>
    </row>
    <row r="2" spans="1:16" x14ac:dyDescent="0.3">
      <c r="A2" t="s">
        <v>22</v>
      </c>
      <c r="B2">
        <v>2022</v>
      </c>
      <c r="C2">
        <v>394328</v>
      </c>
      <c r="D2">
        <v>130541</v>
      </c>
      <c r="E2">
        <f t="shared" ref="E2:E33" si="0">(C2*J2/100)</f>
        <v>998.02839487999995</v>
      </c>
      <c r="F2">
        <v>50672</v>
      </c>
      <c r="G2">
        <f>(F2+H2)</f>
        <v>170739.304</v>
      </c>
      <c r="H2">
        <f t="shared" ref="H2:H33" si="1">(F2*M2)</f>
        <v>120067.304</v>
      </c>
      <c r="I2" s="4">
        <v>0.3310467428130896</v>
      </c>
      <c r="J2" s="4">
        <v>0.25309599999999999</v>
      </c>
      <c r="K2" s="3">
        <v>0.19695889999999999</v>
      </c>
      <c r="L2" s="3">
        <v>0.28292400000000001</v>
      </c>
      <c r="M2" s="1">
        <v>2.3694999999999999</v>
      </c>
      <c r="N2" s="1">
        <v>0.87939999999999996</v>
      </c>
      <c r="O2" s="3"/>
      <c r="P2" s="3"/>
    </row>
    <row r="3" spans="1:16" x14ac:dyDescent="0.3">
      <c r="A3" t="s">
        <v>22</v>
      </c>
      <c r="B3">
        <v>2021</v>
      </c>
      <c r="C3">
        <v>365817</v>
      </c>
      <c r="D3">
        <v>120233</v>
      </c>
      <c r="E3">
        <f t="shared" si="0"/>
        <v>946.80024305999996</v>
      </c>
      <c r="F3">
        <v>63090</v>
      </c>
      <c r="G3">
        <f t="shared" ref="G3:G66" si="2">(F3+H3)</f>
        <v>187806.31199999998</v>
      </c>
      <c r="H3">
        <f t="shared" si="1"/>
        <v>124716.31199999999</v>
      </c>
      <c r="I3" s="4">
        <v>0.32866979938056462</v>
      </c>
      <c r="J3" s="4">
        <v>0.25881799999999999</v>
      </c>
      <c r="K3" s="3">
        <v>0.15007129999999999</v>
      </c>
      <c r="L3" s="3">
        <v>0.26974199999999998</v>
      </c>
      <c r="M3" s="1">
        <v>1.9767999999999999</v>
      </c>
      <c r="N3" s="1">
        <v>1.0746</v>
      </c>
      <c r="O3" s="3"/>
      <c r="P3" s="3"/>
    </row>
    <row r="4" spans="1:16" x14ac:dyDescent="0.3">
      <c r="A4" t="s">
        <v>22</v>
      </c>
      <c r="B4">
        <v>2020</v>
      </c>
      <c r="C4">
        <v>274515</v>
      </c>
      <c r="D4">
        <v>77344</v>
      </c>
      <c r="E4">
        <f t="shared" si="0"/>
        <v>574.10969039999998</v>
      </c>
      <c r="F4">
        <v>65339</v>
      </c>
      <c r="G4">
        <f t="shared" si="2"/>
        <v>177774.3512</v>
      </c>
      <c r="H4">
        <f t="shared" si="1"/>
        <v>112435.3512</v>
      </c>
      <c r="I4" s="4">
        <v>0.2817478097736007</v>
      </c>
      <c r="J4" s="4">
        <v>0.20913599999999999</v>
      </c>
      <c r="K4" s="3">
        <v>8.7866399999999997E-2</v>
      </c>
      <c r="L4" s="3">
        <v>0.177256</v>
      </c>
      <c r="M4" s="1">
        <v>1.7208000000000001</v>
      </c>
      <c r="N4" s="1">
        <v>1.3635999999999999</v>
      </c>
      <c r="O4" s="3"/>
      <c r="P4" s="3"/>
    </row>
    <row r="5" spans="1:16" x14ac:dyDescent="0.3">
      <c r="A5" t="s">
        <v>22</v>
      </c>
      <c r="B5">
        <v>2019</v>
      </c>
      <c r="C5">
        <v>260174</v>
      </c>
      <c r="D5">
        <v>76477</v>
      </c>
      <c r="E5">
        <f t="shared" si="0"/>
        <v>552.56014293999988</v>
      </c>
      <c r="F5">
        <v>90488</v>
      </c>
      <c r="G5">
        <f t="shared" si="2"/>
        <v>198530.67199999999</v>
      </c>
      <c r="H5">
        <f t="shared" si="1"/>
        <v>108042.67199999999</v>
      </c>
      <c r="I5" s="4">
        <v>0.29394559025882677</v>
      </c>
      <c r="J5" s="4">
        <v>0.21238099999999999</v>
      </c>
      <c r="K5" s="3">
        <v>6.1064500000000008E-2</v>
      </c>
      <c r="L5" s="3">
        <v>0.16323000000000001</v>
      </c>
      <c r="M5" s="1">
        <v>1.194</v>
      </c>
      <c r="N5" s="1">
        <v>1.5401</v>
      </c>
      <c r="O5" s="3"/>
      <c r="P5" s="3"/>
    </row>
    <row r="6" spans="1:16" x14ac:dyDescent="0.3">
      <c r="A6" t="s">
        <v>22</v>
      </c>
      <c r="B6">
        <v>2018</v>
      </c>
      <c r="C6">
        <v>265595</v>
      </c>
      <c r="D6">
        <v>81801</v>
      </c>
      <c r="E6">
        <f t="shared" si="0"/>
        <v>595.3099449</v>
      </c>
      <c r="F6">
        <v>107147</v>
      </c>
      <c r="G6">
        <f t="shared" si="2"/>
        <v>221633.56949999998</v>
      </c>
      <c r="H6">
        <f t="shared" si="1"/>
        <v>114486.5695</v>
      </c>
      <c r="I6" s="4">
        <v>0.30799149080366722</v>
      </c>
      <c r="J6" s="4">
        <v>0.22414200000000001</v>
      </c>
      <c r="K6" s="3">
        <v>5.5560099999999994E-2</v>
      </c>
      <c r="L6" s="3">
        <v>0.162775</v>
      </c>
      <c r="M6" s="1">
        <v>1.0685</v>
      </c>
      <c r="N6" s="1">
        <v>1.1329</v>
      </c>
      <c r="O6" s="3"/>
      <c r="P6" s="3"/>
    </row>
    <row r="7" spans="1:16" x14ac:dyDescent="0.3">
      <c r="A7" t="s">
        <v>22</v>
      </c>
      <c r="B7">
        <v>2017</v>
      </c>
      <c r="C7">
        <v>229234</v>
      </c>
      <c r="D7">
        <v>71501</v>
      </c>
      <c r="E7">
        <f t="shared" si="0"/>
        <v>483.50952215999996</v>
      </c>
      <c r="F7">
        <v>134047</v>
      </c>
      <c r="G7">
        <f t="shared" si="2"/>
        <v>249729.56099999999</v>
      </c>
      <c r="H7">
        <f t="shared" si="1"/>
        <v>115682.561</v>
      </c>
      <c r="I7" s="4">
        <v>0.31191271800867237</v>
      </c>
      <c r="J7" s="4">
        <v>0.210924</v>
      </c>
      <c r="K7" s="3">
        <v>3.6070199999999997E-2</v>
      </c>
      <c r="L7" s="3">
        <v>0.128826</v>
      </c>
      <c r="M7" s="1">
        <v>0.86299999999999999</v>
      </c>
      <c r="N7" s="1">
        <v>1.2761</v>
      </c>
      <c r="O7" s="3"/>
      <c r="P7" s="3"/>
    </row>
    <row r="8" spans="1:16" x14ac:dyDescent="0.3">
      <c r="A8" t="s">
        <v>22</v>
      </c>
      <c r="B8">
        <v>2016</v>
      </c>
      <c r="C8">
        <v>215639</v>
      </c>
      <c r="D8">
        <v>70529</v>
      </c>
      <c r="E8">
        <f t="shared" si="0"/>
        <v>456.87003652000004</v>
      </c>
      <c r="F8">
        <v>128249</v>
      </c>
      <c r="G8">
        <f t="shared" si="2"/>
        <v>215278.7714</v>
      </c>
      <c r="H8">
        <f t="shared" si="1"/>
        <v>87029.771399999998</v>
      </c>
      <c r="I8" s="4">
        <v>0.32706977865784947</v>
      </c>
      <c r="J8" s="4">
        <v>0.21186800000000003</v>
      </c>
      <c r="K8" s="3">
        <v>3.5623700000000001E-2</v>
      </c>
      <c r="L8" s="3">
        <v>0.14202400000000001</v>
      </c>
      <c r="M8" s="1">
        <v>0.67859999999999998</v>
      </c>
      <c r="N8" s="1">
        <v>1.3527</v>
      </c>
      <c r="O8" s="3"/>
      <c r="P8" s="3"/>
    </row>
    <row r="9" spans="1:16" x14ac:dyDescent="0.3">
      <c r="A9" t="s">
        <v>22</v>
      </c>
      <c r="B9">
        <v>2015</v>
      </c>
      <c r="C9">
        <v>233715</v>
      </c>
      <c r="D9">
        <v>82487</v>
      </c>
      <c r="E9">
        <f t="shared" si="0"/>
        <v>533.94061469999997</v>
      </c>
      <c r="F9">
        <v>119355</v>
      </c>
      <c r="G9">
        <f t="shared" si="2"/>
        <v>183687.345</v>
      </c>
      <c r="H9">
        <f t="shared" si="1"/>
        <v>64332.345000000001</v>
      </c>
      <c r="I9" s="4">
        <v>0.35293840788995146</v>
      </c>
      <c r="J9" s="4">
        <v>0.22845799999999999</v>
      </c>
      <c r="K9" s="3">
        <v>4.4735500000000004E-2</v>
      </c>
      <c r="L9" s="3">
        <v>0.18389900000000001</v>
      </c>
      <c r="M9" s="1">
        <v>0.53900000000000003</v>
      </c>
      <c r="N9" s="1">
        <v>1.1088</v>
      </c>
      <c r="O9" s="3"/>
      <c r="P9" s="3"/>
    </row>
    <row r="10" spans="1:16" x14ac:dyDescent="0.3">
      <c r="A10" t="s">
        <v>22</v>
      </c>
      <c r="B10">
        <v>2014</v>
      </c>
      <c r="C10">
        <v>182795</v>
      </c>
      <c r="D10">
        <v>60449</v>
      </c>
      <c r="E10">
        <f t="shared" si="0"/>
        <v>395.10042480000004</v>
      </c>
      <c r="F10">
        <v>111547</v>
      </c>
      <c r="G10">
        <f t="shared" si="2"/>
        <v>146840.47080000001</v>
      </c>
      <c r="H10">
        <f t="shared" si="1"/>
        <v>35293.470800000003</v>
      </c>
      <c r="I10" s="4">
        <v>0.3306928526491425</v>
      </c>
      <c r="J10" s="4">
        <v>0.216144</v>
      </c>
      <c r="K10" s="3">
        <v>3.5420099999999996E-2</v>
      </c>
      <c r="L10" s="3">
        <v>0.17042000000000002</v>
      </c>
      <c r="M10" s="1">
        <v>0.31640000000000001</v>
      </c>
      <c r="N10" s="1">
        <v>1.0801000000000001</v>
      </c>
      <c r="O10" s="3"/>
      <c r="P10" s="3"/>
    </row>
    <row r="11" spans="1:16" x14ac:dyDescent="0.3">
      <c r="A11" t="s">
        <v>22</v>
      </c>
      <c r="B11">
        <v>2013</v>
      </c>
      <c r="C11">
        <v>170910</v>
      </c>
      <c r="D11">
        <v>55756</v>
      </c>
      <c r="E11">
        <f t="shared" si="0"/>
        <v>370.37051550000001</v>
      </c>
      <c r="F11">
        <v>123549</v>
      </c>
      <c r="G11">
        <f t="shared" si="2"/>
        <v>140512.27770000001</v>
      </c>
      <c r="H11">
        <f t="shared" si="1"/>
        <v>16963.277700000002</v>
      </c>
      <c r="I11" s="4">
        <v>0.32623017962670409</v>
      </c>
      <c r="J11" s="4">
        <v>0.21670500000000001</v>
      </c>
      <c r="K11" s="3">
        <v>2.99776E-2</v>
      </c>
      <c r="L11" s="3">
        <v>0.178923</v>
      </c>
      <c r="M11" s="1">
        <v>0.13730000000000001</v>
      </c>
      <c r="N11" s="1">
        <v>1.6786000000000001</v>
      </c>
      <c r="O11" s="3"/>
      <c r="P11" s="3"/>
    </row>
    <row r="12" spans="1:16" x14ac:dyDescent="0.3">
      <c r="A12" t="s">
        <v>22</v>
      </c>
      <c r="B12">
        <v>2012</v>
      </c>
      <c r="C12">
        <v>156508</v>
      </c>
      <c r="D12">
        <v>58518</v>
      </c>
      <c r="E12">
        <f t="shared" si="0"/>
        <v>417.33014707999996</v>
      </c>
      <c r="F12">
        <v>118210</v>
      </c>
      <c r="G12">
        <f t="shared" si="2"/>
        <v>118210</v>
      </c>
      <c r="H12">
        <f t="shared" si="1"/>
        <v>0</v>
      </c>
      <c r="I12" s="4">
        <v>0.37389781991974852</v>
      </c>
      <c r="J12" s="4">
        <v>0.26665099999999997</v>
      </c>
      <c r="K12" s="3">
        <v>3.5304099999999998E-2</v>
      </c>
      <c r="L12" s="3">
        <v>0.23703299999999999</v>
      </c>
      <c r="M12" s="1">
        <v>0</v>
      </c>
      <c r="N12" s="1">
        <v>1.4958</v>
      </c>
      <c r="O12" s="3"/>
      <c r="P12" s="3"/>
    </row>
    <row r="13" spans="1:16" x14ac:dyDescent="0.3">
      <c r="A13" t="s">
        <v>22</v>
      </c>
      <c r="B13">
        <v>2011</v>
      </c>
      <c r="C13">
        <v>108249</v>
      </c>
      <c r="D13">
        <v>35604</v>
      </c>
      <c r="E13">
        <f t="shared" si="0"/>
        <v>259.21955034000001</v>
      </c>
      <c r="F13">
        <v>76615</v>
      </c>
      <c r="G13">
        <f t="shared" si="2"/>
        <v>76615</v>
      </c>
      <c r="H13">
        <f t="shared" si="1"/>
        <v>0</v>
      </c>
      <c r="I13" s="4">
        <v>0.32890835019261144</v>
      </c>
      <c r="J13" s="4">
        <v>0.23946600000000001</v>
      </c>
      <c r="K13" s="3">
        <v>3.3834099999999999E-2</v>
      </c>
      <c r="L13" s="3">
        <v>0.22275300000000001</v>
      </c>
      <c r="M13" s="1">
        <v>0</v>
      </c>
      <c r="N13" s="1">
        <v>1.6084000000000001</v>
      </c>
      <c r="O13" s="3"/>
      <c r="P13" s="3"/>
    </row>
    <row r="14" spans="1:16" x14ac:dyDescent="0.3">
      <c r="A14" t="s">
        <v>22</v>
      </c>
      <c r="B14">
        <v>2010</v>
      </c>
      <c r="C14">
        <v>65225</v>
      </c>
      <c r="D14">
        <v>19412</v>
      </c>
      <c r="E14">
        <f t="shared" si="0"/>
        <v>140.13004225</v>
      </c>
      <c r="F14">
        <v>47791</v>
      </c>
      <c r="G14">
        <f t="shared" si="2"/>
        <v>47791</v>
      </c>
      <c r="H14">
        <f t="shared" si="1"/>
        <v>0</v>
      </c>
      <c r="I14" s="4">
        <v>0.29761594480643927</v>
      </c>
      <c r="J14" s="4">
        <v>0.214841</v>
      </c>
      <c r="K14" s="3">
        <v>2.9321400000000001E-2</v>
      </c>
      <c r="L14" s="3">
        <v>0.186385</v>
      </c>
      <c r="M14" s="1">
        <v>0</v>
      </c>
      <c r="N14" s="1">
        <v>2.0112999999999999</v>
      </c>
      <c r="O14" s="3"/>
      <c r="P14" s="3"/>
    </row>
    <row r="15" spans="1:16" x14ac:dyDescent="0.3">
      <c r="A15" t="s">
        <v>22</v>
      </c>
      <c r="B15">
        <v>2009</v>
      </c>
      <c r="C15">
        <v>42905</v>
      </c>
      <c r="D15">
        <v>12474</v>
      </c>
      <c r="E15">
        <f t="shared" si="0"/>
        <v>82.350140799999991</v>
      </c>
      <c r="F15">
        <v>31640</v>
      </c>
      <c r="G15">
        <f t="shared" si="2"/>
        <v>31640</v>
      </c>
      <c r="H15">
        <f t="shared" si="1"/>
        <v>0</v>
      </c>
      <c r="I15" s="4">
        <v>0.29073534553082392</v>
      </c>
      <c r="J15" s="4">
        <v>0.191936</v>
      </c>
      <c r="K15" s="3">
        <v>2.60272E-2</v>
      </c>
      <c r="L15" s="3">
        <v>0.17336500000000002</v>
      </c>
      <c r="M15" s="1">
        <v>0</v>
      </c>
      <c r="N15" s="1">
        <v>2.7425000000000002</v>
      </c>
      <c r="O15" s="3"/>
      <c r="P15" s="3"/>
    </row>
    <row r="16" spans="1:16" x14ac:dyDescent="0.3">
      <c r="A16" t="s">
        <v>24</v>
      </c>
      <c r="B16">
        <v>2023</v>
      </c>
      <c r="C16">
        <v>211915</v>
      </c>
      <c r="D16">
        <v>102384</v>
      </c>
      <c r="E16">
        <f t="shared" si="0"/>
        <v>723.60919729999989</v>
      </c>
      <c r="F16">
        <v>206223</v>
      </c>
      <c r="G16">
        <f t="shared" si="2"/>
        <v>253468.6893</v>
      </c>
      <c r="H16">
        <f t="shared" si="1"/>
        <v>47245.689299999998</v>
      </c>
      <c r="I16" s="4">
        <v>0.48313710685888211</v>
      </c>
      <c r="J16" s="4">
        <v>0.34146199999999999</v>
      </c>
      <c r="K16" s="3">
        <v>3.50887E-2</v>
      </c>
      <c r="L16" s="3">
        <v>0.17564399999999999</v>
      </c>
      <c r="M16" s="1">
        <v>0.2291</v>
      </c>
      <c r="N16" s="1">
        <v>1.7692000000000001</v>
      </c>
      <c r="O16" s="3"/>
      <c r="P16" s="3"/>
    </row>
    <row r="17" spans="1:16" x14ac:dyDescent="0.3">
      <c r="A17" t="s">
        <v>24</v>
      </c>
      <c r="B17">
        <v>2022</v>
      </c>
      <c r="C17">
        <v>198270</v>
      </c>
      <c r="D17">
        <v>97843</v>
      </c>
      <c r="E17">
        <f t="shared" si="0"/>
        <v>727.3792701000001</v>
      </c>
      <c r="F17">
        <v>166542</v>
      </c>
      <c r="G17">
        <f t="shared" si="2"/>
        <v>216321.4038</v>
      </c>
      <c r="H17">
        <f t="shared" si="1"/>
        <v>49779.4038</v>
      </c>
      <c r="I17" s="4">
        <v>0.49348363342916224</v>
      </c>
      <c r="J17" s="4">
        <v>0.36686300000000005</v>
      </c>
      <c r="K17" s="3">
        <v>4.3675499999999999E-2</v>
      </c>
      <c r="L17" s="3">
        <v>0.19937000000000002</v>
      </c>
      <c r="M17" s="1">
        <v>0.2989</v>
      </c>
      <c r="N17" s="1">
        <v>1.7846</v>
      </c>
      <c r="O17" s="3"/>
      <c r="P17" s="3"/>
    </row>
    <row r="18" spans="1:16" x14ac:dyDescent="0.3">
      <c r="A18" t="s">
        <v>24</v>
      </c>
      <c r="B18">
        <v>2021</v>
      </c>
      <c r="C18">
        <v>168088</v>
      </c>
      <c r="D18">
        <v>81602</v>
      </c>
      <c r="E18">
        <f t="shared" si="0"/>
        <v>612.70933496000009</v>
      </c>
      <c r="F18">
        <v>141988</v>
      </c>
      <c r="G18">
        <f t="shared" si="2"/>
        <v>200132.08600000001</v>
      </c>
      <c r="H18">
        <f t="shared" si="1"/>
        <v>58144.085999999996</v>
      </c>
      <c r="I18" s="4">
        <v>0.4854718956736947</v>
      </c>
      <c r="J18" s="4">
        <v>0.36451700000000004</v>
      </c>
      <c r="K18" s="3">
        <v>4.3152200000000002E-2</v>
      </c>
      <c r="L18" s="3">
        <v>0.18356800000000001</v>
      </c>
      <c r="M18" s="1">
        <v>0.40949999999999998</v>
      </c>
      <c r="N18" s="1">
        <v>2.08</v>
      </c>
      <c r="O18" s="3"/>
      <c r="P18" s="3"/>
    </row>
    <row r="19" spans="1:16" x14ac:dyDescent="0.3">
      <c r="A19" t="s">
        <v>24</v>
      </c>
      <c r="B19">
        <v>2020</v>
      </c>
      <c r="C19">
        <v>143015</v>
      </c>
      <c r="D19">
        <v>65755</v>
      </c>
      <c r="E19">
        <f t="shared" si="0"/>
        <v>442.81019374999994</v>
      </c>
      <c r="F19">
        <v>118304</v>
      </c>
      <c r="G19">
        <f t="shared" si="2"/>
        <v>181632.1312</v>
      </c>
      <c r="H19">
        <f t="shared" si="1"/>
        <v>63328.131199999996</v>
      </c>
      <c r="I19" s="4">
        <v>0.45977694647414608</v>
      </c>
      <c r="J19" s="4">
        <v>0.30962499999999998</v>
      </c>
      <c r="K19" s="3">
        <v>3.7429799999999999E-2</v>
      </c>
      <c r="L19" s="3">
        <v>0.14696100000000001</v>
      </c>
      <c r="M19" s="1">
        <v>0.5353</v>
      </c>
      <c r="N19" s="1">
        <v>2.5158</v>
      </c>
      <c r="O19" s="3"/>
      <c r="P19" s="3"/>
    </row>
    <row r="20" spans="1:16" x14ac:dyDescent="0.3">
      <c r="A20" t="s">
        <v>24</v>
      </c>
      <c r="B20">
        <v>2019</v>
      </c>
      <c r="C20">
        <v>125843</v>
      </c>
      <c r="D20">
        <v>54641</v>
      </c>
      <c r="E20">
        <f t="shared" si="0"/>
        <v>392.39986731000005</v>
      </c>
      <c r="F20">
        <v>102330</v>
      </c>
      <c r="G20">
        <f t="shared" si="2"/>
        <v>174503.34899999999</v>
      </c>
      <c r="H20">
        <f t="shared" si="1"/>
        <v>72173.349000000002</v>
      </c>
      <c r="I20" s="4">
        <v>0.43419975683987189</v>
      </c>
      <c r="J20" s="4">
        <v>0.31181700000000001</v>
      </c>
      <c r="K20" s="3">
        <v>3.8346499999999999E-2</v>
      </c>
      <c r="L20" s="3">
        <v>0.136937</v>
      </c>
      <c r="M20" s="1">
        <v>0.70530000000000004</v>
      </c>
      <c r="N20" s="1">
        <v>2.5287999999999999</v>
      </c>
      <c r="O20" s="3"/>
      <c r="P20" s="3"/>
    </row>
    <row r="21" spans="1:16" x14ac:dyDescent="0.3">
      <c r="A21" t="s">
        <v>24</v>
      </c>
      <c r="B21">
        <v>2018</v>
      </c>
      <c r="C21">
        <v>110360</v>
      </c>
      <c r="D21">
        <v>45319</v>
      </c>
      <c r="E21">
        <f t="shared" si="0"/>
        <v>165.70995440000002</v>
      </c>
      <c r="F21">
        <v>82718</v>
      </c>
      <c r="G21">
        <f t="shared" si="2"/>
        <v>158959.18059999999</v>
      </c>
      <c r="H21">
        <f t="shared" si="1"/>
        <v>76241.180599999992</v>
      </c>
      <c r="I21" s="4">
        <v>0.41064697354113811</v>
      </c>
      <c r="J21" s="4">
        <v>0.15015400000000001</v>
      </c>
      <c r="K21" s="3">
        <v>2.0033099999999998E-2</v>
      </c>
      <c r="L21" s="3">
        <v>6.4017999999999992E-2</v>
      </c>
      <c r="M21" s="1">
        <v>0.92169999999999996</v>
      </c>
      <c r="N21" s="1">
        <v>2.9007999999999998</v>
      </c>
      <c r="O21" s="3"/>
      <c r="P21" s="3"/>
    </row>
    <row r="22" spans="1:16" x14ac:dyDescent="0.3">
      <c r="A22" t="s">
        <v>24</v>
      </c>
      <c r="B22">
        <v>2017</v>
      </c>
      <c r="C22">
        <v>96571</v>
      </c>
      <c r="D22">
        <v>37803</v>
      </c>
      <c r="E22">
        <f t="shared" si="0"/>
        <v>254.89046311000001</v>
      </c>
      <c r="F22">
        <v>87711</v>
      </c>
      <c r="G22">
        <f t="shared" si="2"/>
        <v>173904.59970000002</v>
      </c>
      <c r="H22">
        <f t="shared" si="1"/>
        <v>86193.599700000006</v>
      </c>
      <c r="I22" s="4">
        <v>0.39145292064905612</v>
      </c>
      <c r="J22" s="4">
        <v>0.26394100000000004</v>
      </c>
      <c r="K22" s="3">
        <v>2.9060199999999998E-2</v>
      </c>
      <c r="L22" s="3">
        <v>0.101829</v>
      </c>
      <c r="M22" s="1">
        <v>0.98270000000000002</v>
      </c>
      <c r="N22" s="1">
        <v>2.9186000000000001</v>
      </c>
      <c r="O22" s="3"/>
      <c r="P22" s="3"/>
    </row>
    <row r="23" spans="1:16" x14ac:dyDescent="0.3">
      <c r="A23" t="s">
        <v>24</v>
      </c>
      <c r="B23">
        <v>2016</v>
      </c>
      <c r="C23">
        <v>91154</v>
      </c>
      <c r="D23">
        <v>33330</v>
      </c>
      <c r="E23">
        <f t="shared" si="0"/>
        <v>205.39001587999999</v>
      </c>
      <c r="F23">
        <v>71997</v>
      </c>
      <c r="G23">
        <f t="shared" si="2"/>
        <v>125454.77250000001</v>
      </c>
      <c r="H23">
        <f t="shared" si="1"/>
        <v>53457.772500000006</v>
      </c>
      <c r="I23" s="4">
        <v>0.36564495249797047</v>
      </c>
      <c r="J23" s="4">
        <v>0.22532199999999999</v>
      </c>
      <c r="K23" s="3">
        <v>2.85276E-2</v>
      </c>
      <c r="L23" s="3">
        <v>0.10616199999999999</v>
      </c>
      <c r="M23" s="1">
        <v>0.74250000000000005</v>
      </c>
      <c r="N23" s="1">
        <v>2.3529</v>
      </c>
      <c r="O23" s="3"/>
      <c r="P23" s="3"/>
    </row>
    <row r="24" spans="1:16" x14ac:dyDescent="0.3">
      <c r="A24" t="s">
        <v>24</v>
      </c>
      <c r="B24">
        <v>2015</v>
      </c>
      <c r="C24">
        <v>93580</v>
      </c>
      <c r="D24">
        <v>31616</v>
      </c>
      <c r="E24">
        <f t="shared" si="0"/>
        <v>121.93006099999998</v>
      </c>
      <c r="F24">
        <v>80083</v>
      </c>
      <c r="G24">
        <f t="shared" si="2"/>
        <v>115375.5781</v>
      </c>
      <c r="H24">
        <f t="shared" si="1"/>
        <v>35292.578099999999</v>
      </c>
      <c r="I24" s="4">
        <v>0.33784996794186795</v>
      </c>
      <c r="J24" s="4">
        <v>0.13029499999999999</v>
      </c>
      <c r="K24" s="3">
        <v>1.5225500000000001E-2</v>
      </c>
      <c r="L24" s="3">
        <v>6.9885000000000003E-2</v>
      </c>
      <c r="M24" s="1">
        <v>0.44069999999999998</v>
      </c>
      <c r="N24" s="1">
        <v>2.4733999999999998</v>
      </c>
      <c r="O24" s="3"/>
      <c r="P24" s="3"/>
    </row>
    <row r="25" spans="1:16" x14ac:dyDescent="0.3">
      <c r="A25" t="s">
        <v>24</v>
      </c>
      <c r="B25">
        <v>2014</v>
      </c>
      <c r="C25">
        <v>86833</v>
      </c>
      <c r="D25">
        <v>32971</v>
      </c>
      <c r="E25">
        <f t="shared" si="0"/>
        <v>220.73990595999999</v>
      </c>
      <c r="F25">
        <v>89784</v>
      </c>
      <c r="G25">
        <f t="shared" si="2"/>
        <v>112427.5248</v>
      </c>
      <c r="H25">
        <f t="shared" si="1"/>
        <v>22643.524799999999</v>
      </c>
      <c r="I25" s="4">
        <v>0.37970587219144797</v>
      </c>
      <c r="J25" s="4">
        <v>0.25421199999999999</v>
      </c>
      <c r="K25" s="3">
        <v>2.4585699999999999E-2</v>
      </c>
      <c r="L25" s="3">
        <v>0.128051</v>
      </c>
      <c r="M25" s="1">
        <v>0.25219999999999998</v>
      </c>
      <c r="N25" s="1">
        <v>2.504</v>
      </c>
      <c r="O25" s="3"/>
      <c r="P25" s="3"/>
    </row>
    <row r="26" spans="1:16" x14ac:dyDescent="0.3">
      <c r="A26" t="s">
        <v>24</v>
      </c>
      <c r="B26">
        <v>2013</v>
      </c>
      <c r="C26">
        <v>77849</v>
      </c>
      <c r="D26">
        <v>30519</v>
      </c>
      <c r="E26">
        <f t="shared" si="0"/>
        <v>218.63035310999999</v>
      </c>
      <c r="F26">
        <v>78944</v>
      </c>
      <c r="G26">
        <f t="shared" si="2"/>
        <v>94543.334399999992</v>
      </c>
      <c r="H26">
        <f t="shared" si="1"/>
        <v>15599.3344</v>
      </c>
      <c r="I26" s="4">
        <v>0.39202815707330857</v>
      </c>
      <c r="J26" s="4">
        <v>0.28083900000000001</v>
      </c>
      <c r="K26" s="3">
        <v>2.7694299999999998E-2</v>
      </c>
      <c r="L26" s="3">
        <v>0.153499</v>
      </c>
      <c r="M26" s="1">
        <v>0.1976</v>
      </c>
      <c r="N26" s="1">
        <v>2.7118000000000002</v>
      </c>
      <c r="O26" s="3"/>
      <c r="P26" s="3"/>
    </row>
    <row r="27" spans="1:16" x14ac:dyDescent="0.3">
      <c r="A27" t="s">
        <v>24</v>
      </c>
      <c r="B27">
        <v>2012</v>
      </c>
      <c r="C27">
        <v>73723</v>
      </c>
      <c r="D27">
        <v>30923</v>
      </c>
      <c r="E27">
        <f t="shared" si="0"/>
        <v>169.78038285</v>
      </c>
      <c r="F27">
        <v>66363</v>
      </c>
      <c r="G27">
        <f t="shared" si="2"/>
        <v>78308.34</v>
      </c>
      <c r="H27">
        <f t="shared" si="1"/>
        <v>11945.34</v>
      </c>
      <c r="I27" s="4">
        <v>0.41944847605224966</v>
      </c>
      <c r="J27" s="4">
        <v>0.230295</v>
      </c>
      <c r="K27" s="3">
        <v>2.5583499999999999E-2</v>
      </c>
      <c r="L27" s="3">
        <v>0.14000099999999999</v>
      </c>
      <c r="M27" s="1">
        <v>0.18</v>
      </c>
      <c r="N27" s="1">
        <v>2.6029</v>
      </c>
      <c r="O27" s="3"/>
      <c r="P27" s="3"/>
    </row>
    <row r="28" spans="1:16" x14ac:dyDescent="0.3">
      <c r="A28" t="s">
        <v>24</v>
      </c>
      <c r="B28">
        <v>2011</v>
      </c>
      <c r="C28">
        <v>69943</v>
      </c>
      <c r="D28">
        <v>29927</v>
      </c>
      <c r="E28">
        <f t="shared" si="0"/>
        <v>231.50013911999997</v>
      </c>
      <c r="F28">
        <v>57083</v>
      </c>
      <c r="G28">
        <f t="shared" si="2"/>
        <v>69001.930399999997</v>
      </c>
      <c r="H28">
        <f t="shared" si="1"/>
        <v>11918.930400000001</v>
      </c>
      <c r="I28" s="4">
        <v>0.42787698554537262</v>
      </c>
      <c r="J28" s="4">
        <v>0.330984</v>
      </c>
      <c r="K28" s="3">
        <v>4.0555000000000001E-2</v>
      </c>
      <c r="L28" s="3">
        <v>0.21296399999999999</v>
      </c>
      <c r="M28" s="1">
        <v>0.20880000000000001</v>
      </c>
      <c r="N28" s="1">
        <v>2.6036999999999999</v>
      </c>
      <c r="O28" s="3"/>
      <c r="P28" s="3"/>
    </row>
    <row r="29" spans="1:16" x14ac:dyDescent="0.3">
      <c r="A29" t="s">
        <v>24</v>
      </c>
      <c r="B29">
        <v>2010</v>
      </c>
      <c r="C29">
        <v>62484</v>
      </c>
      <c r="D29">
        <v>26771</v>
      </c>
      <c r="E29">
        <f t="shared" si="0"/>
        <v>187.60008708000001</v>
      </c>
      <c r="F29">
        <v>46175</v>
      </c>
      <c r="G29">
        <f t="shared" si="2"/>
        <v>52113.104999999996</v>
      </c>
      <c r="H29">
        <f t="shared" si="1"/>
        <v>5938.1049999999996</v>
      </c>
      <c r="I29" s="4">
        <v>0.4284456820946162</v>
      </c>
      <c r="J29" s="4">
        <v>0.30023700000000003</v>
      </c>
      <c r="K29" s="3">
        <v>4.0628000000000004E-2</v>
      </c>
      <c r="L29" s="3">
        <v>0.21785299999999999</v>
      </c>
      <c r="M29" s="1">
        <v>0.12859999999999999</v>
      </c>
      <c r="N29" s="1">
        <v>2.1293000000000002</v>
      </c>
      <c r="O29" s="3"/>
      <c r="P29" s="3"/>
    </row>
    <row r="30" spans="1:16" x14ac:dyDescent="0.3">
      <c r="A30" t="s">
        <v>24</v>
      </c>
      <c r="B30">
        <v>2009</v>
      </c>
      <c r="C30">
        <v>58437</v>
      </c>
      <c r="D30">
        <v>22925</v>
      </c>
      <c r="E30">
        <f t="shared" si="0"/>
        <v>145.68986907000001</v>
      </c>
      <c r="F30">
        <v>39558</v>
      </c>
      <c r="G30">
        <f t="shared" si="2"/>
        <v>45305.777399999999</v>
      </c>
      <c r="H30">
        <f t="shared" si="1"/>
        <v>5747.7774000000009</v>
      </c>
      <c r="I30" s="4">
        <v>0.3923028218423259</v>
      </c>
      <c r="J30" s="4">
        <v>0.249311</v>
      </c>
      <c r="K30" s="3">
        <v>3.6829500000000001E-2</v>
      </c>
      <c r="L30" s="3">
        <v>0.18705100000000002</v>
      </c>
      <c r="M30" s="1">
        <v>0.14530000000000001</v>
      </c>
      <c r="N30" s="1">
        <v>1.8229</v>
      </c>
      <c r="O30" s="3"/>
      <c r="P30" s="3"/>
    </row>
    <row r="31" spans="1:16" x14ac:dyDescent="0.3">
      <c r="A31" t="s">
        <v>25</v>
      </c>
      <c r="B31">
        <v>2022</v>
      </c>
      <c r="C31">
        <v>282836</v>
      </c>
      <c r="D31">
        <v>90770</v>
      </c>
      <c r="E31">
        <f t="shared" si="0"/>
        <v>599.71979768000006</v>
      </c>
      <c r="F31">
        <v>256144</v>
      </c>
      <c r="G31">
        <f t="shared" si="2"/>
        <v>270846.66560000001</v>
      </c>
      <c r="H31">
        <f t="shared" si="1"/>
        <v>14702.6656</v>
      </c>
      <c r="I31" s="4">
        <v>0.3209280289637812</v>
      </c>
      <c r="J31" s="4">
        <v>0.212038</v>
      </c>
      <c r="K31" s="3">
        <v>2.3413399999999997E-2</v>
      </c>
      <c r="L31" s="3">
        <v>0.164188</v>
      </c>
      <c r="M31" s="1">
        <v>5.74E-2</v>
      </c>
      <c r="N31" s="1">
        <v>2.3780000000000001</v>
      </c>
      <c r="O31" s="3"/>
      <c r="P31" s="3"/>
    </row>
    <row r="32" spans="1:16" x14ac:dyDescent="0.3">
      <c r="A32" t="s">
        <v>25</v>
      </c>
      <c r="B32">
        <v>2021</v>
      </c>
      <c r="C32">
        <v>257637</v>
      </c>
      <c r="D32">
        <v>91155</v>
      </c>
      <c r="E32">
        <f t="shared" si="0"/>
        <v>760.33058529000004</v>
      </c>
      <c r="F32">
        <v>251635</v>
      </c>
      <c r="G32">
        <f t="shared" si="2"/>
        <v>266456.3015</v>
      </c>
      <c r="H32">
        <f t="shared" si="1"/>
        <v>14821.3015</v>
      </c>
      <c r="I32" s="4">
        <v>0.35381175840426649</v>
      </c>
      <c r="J32" s="4">
        <v>0.29511700000000002</v>
      </c>
      <c r="K32" s="3">
        <v>3.0215599999999999E-2</v>
      </c>
      <c r="L32" s="3">
        <v>0.21163299999999999</v>
      </c>
      <c r="M32" s="1">
        <v>5.8900000000000001E-2</v>
      </c>
      <c r="N32" s="1">
        <v>2.9281000000000001</v>
      </c>
      <c r="O32" s="3"/>
      <c r="P32" s="3"/>
    </row>
    <row r="33" spans="1:16" x14ac:dyDescent="0.3">
      <c r="A33" t="s">
        <v>25</v>
      </c>
      <c r="B33">
        <v>2020</v>
      </c>
      <c r="C33">
        <v>182527</v>
      </c>
      <c r="D33">
        <v>54921</v>
      </c>
      <c r="E33">
        <f t="shared" si="0"/>
        <v>402.68924212999997</v>
      </c>
      <c r="F33">
        <v>222544</v>
      </c>
      <c r="G33">
        <f t="shared" si="2"/>
        <v>236475.25440000001</v>
      </c>
      <c r="H33">
        <f t="shared" si="1"/>
        <v>13931.2544</v>
      </c>
      <c r="I33" s="4">
        <v>0.30089247070296449</v>
      </c>
      <c r="J33" s="4">
        <v>0.22061900000000001</v>
      </c>
      <c r="K33" s="3">
        <v>1.8094899999999997E-2</v>
      </c>
      <c r="L33" s="3">
        <v>0.12599199999999999</v>
      </c>
      <c r="M33" s="1">
        <v>6.2600000000000003E-2</v>
      </c>
      <c r="N33" s="1">
        <v>3.0668000000000002</v>
      </c>
      <c r="O33" s="3"/>
      <c r="P33" s="3"/>
    </row>
    <row r="34" spans="1:16" x14ac:dyDescent="0.3">
      <c r="A34" t="s">
        <v>25</v>
      </c>
      <c r="B34">
        <v>2019</v>
      </c>
      <c r="C34">
        <v>161857</v>
      </c>
      <c r="D34">
        <v>46012</v>
      </c>
      <c r="E34">
        <f t="shared" ref="E34:E65" si="3">(C34*J34/100)</f>
        <v>343.42980117000002</v>
      </c>
      <c r="F34">
        <v>201442</v>
      </c>
      <c r="G34">
        <f t="shared" si="2"/>
        <v>205994.58919999999</v>
      </c>
      <c r="H34">
        <f t="shared" ref="H34:H65" si="4">(F34*M34)</f>
        <v>4552.5891999999994</v>
      </c>
      <c r="I34" s="4">
        <v>0.28427562601555695</v>
      </c>
      <c r="J34" s="4">
        <v>0.21218100000000001</v>
      </c>
      <c r="K34" s="3">
        <v>1.7048600000000001E-2</v>
      </c>
      <c r="L34" s="3">
        <v>0.124472</v>
      </c>
      <c r="M34" s="1">
        <v>2.2599999999999999E-2</v>
      </c>
      <c r="N34" s="1">
        <v>3.3740999999999999</v>
      </c>
      <c r="O34" s="3"/>
      <c r="P34" s="3"/>
    </row>
    <row r="35" spans="1:16" x14ac:dyDescent="0.3">
      <c r="A35" t="s">
        <v>25</v>
      </c>
      <c r="B35">
        <v>2018</v>
      </c>
      <c r="C35">
        <v>136819</v>
      </c>
      <c r="D35">
        <v>36559</v>
      </c>
      <c r="E35">
        <f t="shared" si="3"/>
        <v>307.35977893</v>
      </c>
      <c r="F35">
        <v>177628</v>
      </c>
      <c r="G35">
        <f t="shared" si="2"/>
        <v>181642.3928</v>
      </c>
      <c r="H35">
        <f t="shared" si="4"/>
        <v>4014.3927999999996</v>
      </c>
      <c r="I35" s="4">
        <v>0.26720703995790057</v>
      </c>
      <c r="J35" s="4">
        <v>0.22464700000000001</v>
      </c>
      <c r="K35" s="3">
        <v>1.7303599999999999E-2</v>
      </c>
      <c r="L35" s="3">
        <v>0.13203200000000001</v>
      </c>
      <c r="M35" s="1">
        <v>2.2599999999999999E-2</v>
      </c>
      <c r="N35" s="1">
        <v>3.919</v>
      </c>
      <c r="O35" s="3"/>
      <c r="P35" s="3"/>
    </row>
    <row r="36" spans="1:16" x14ac:dyDescent="0.3">
      <c r="A36" t="s">
        <v>25</v>
      </c>
      <c r="B36">
        <v>2017</v>
      </c>
      <c r="C36">
        <v>110855</v>
      </c>
      <c r="D36">
        <v>33093</v>
      </c>
      <c r="E36">
        <f t="shared" si="3"/>
        <v>126.61968955</v>
      </c>
      <c r="F36">
        <v>152502</v>
      </c>
      <c r="G36">
        <f t="shared" si="2"/>
        <v>156467.052</v>
      </c>
      <c r="H36">
        <f t="shared" si="4"/>
        <v>3965.0519999999997</v>
      </c>
      <c r="I36" s="4">
        <v>0.29852510035632129</v>
      </c>
      <c r="J36" s="4">
        <v>0.114221</v>
      </c>
      <c r="K36" s="3">
        <v>8.3027999999999991E-3</v>
      </c>
      <c r="L36" s="3">
        <v>6.4177999999999999E-2</v>
      </c>
      <c r="M36" s="1">
        <v>2.5999999999999999E-2</v>
      </c>
      <c r="N36" s="1">
        <v>5.1402999999999999</v>
      </c>
      <c r="O36" s="3"/>
      <c r="P36" s="3"/>
    </row>
    <row r="37" spans="1:16" x14ac:dyDescent="0.3">
      <c r="A37" t="s">
        <v>25</v>
      </c>
      <c r="B37">
        <v>2016</v>
      </c>
      <c r="C37">
        <v>90272</v>
      </c>
      <c r="D37">
        <v>29860</v>
      </c>
      <c r="E37">
        <f t="shared" si="3"/>
        <v>194.77989440000002</v>
      </c>
      <c r="F37">
        <v>139036</v>
      </c>
      <c r="G37">
        <f t="shared" si="2"/>
        <v>142970.7188</v>
      </c>
      <c r="H37">
        <f t="shared" si="4"/>
        <v>3934.7187999999996</v>
      </c>
      <c r="I37" s="4">
        <v>0.33077809287486709</v>
      </c>
      <c r="J37" s="4">
        <v>0.21577000000000002</v>
      </c>
      <c r="K37" s="3">
        <v>1.4009300000000001E-2</v>
      </c>
      <c r="L37" s="3">
        <v>0.116289</v>
      </c>
      <c r="M37" s="1">
        <v>2.8299999999999999E-2</v>
      </c>
      <c r="N37" s="1">
        <v>6.2907999999999999</v>
      </c>
      <c r="O37" s="3"/>
      <c r="P37" s="3"/>
    </row>
    <row r="38" spans="1:16" x14ac:dyDescent="0.3">
      <c r="A38" t="s">
        <v>25</v>
      </c>
      <c r="B38">
        <v>2015</v>
      </c>
      <c r="C38">
        <v>74989</v>
      </c>
      <c r="D38">
        <v>24423</v>
      </c>
      <c r="E38">
        <f t="shared" si="3"/>
        <v>158.25978515999998</v>
      </c>
      <c r="F38">
        <v>120331</v>
      </c>
      <c r="G38">
        <f t="shared" si="2"/>
        <v>125553.3654</v>
      </c>
      <c r="H38">
        <f t="shared" si="4"/>
        <v>5222.3653999999997</v>
      </c>
      <c r="I38" s="4">
        <v>0.32568776753923911</v>
      </c>
      <c r="J38" s="4">
        <v>0.21104399999999998</v>
      </c>
      <c r="K38" s="3">
        <v>1.35859E-2</v>
      </c>
      <c r="L38" s="3">
        <v>0.11086299999999999</v>
      </c>
      <c r="M38" s="1">
        <v>4.3400000000000001E-2</v>
      </c>
      <c r="N38" s="1">
        <v>4.6666999999999996</v>
      </c>
      <c r="O38" s="3"/>
      <c r="P38" s="3"/>
    </row>
    <row r="39" spans="1:16" x14ac:dyDescent="0.3">
      <c r="A39" t="s">
        <v>25</v>
      </c>
      <c r="B39">
        <v>2014</v>
      </c>
      <c r="C39">
        <v>66001</v>
      </c>
      <c r="D39">
        <v>21475</v>
      </c>
      <c r="E39">
        <f t="shared" si="3"/>
        <v>141.36028179000002</v>
      </c>
      <c r="F39">
        <v>103860</v>
      </c>
      <c r="G39">
        <f t="shared" si="2"/>
        <v>109094.54399999999</v>
      </c>
      <c r="H39">
        <f t="shared" si="4"/>
        <v>5234.5439999999999</v>
      </c>
      <c r="I39" s="4">
        <v>0.32537385797184887</v>
      </c>
      <c r="J39" s="4">
        <v>0.21417900000000001</v>
      </c>
      <c r="K39" s="3">
        <v>1.31138E-2</v>
      </c>
      <c r="L39" s="3">
        <v>0.10542899999999999</v>
      </c>
      <c r="M39" s="1">
        <v>5.04E-2</v>
      </c>
      <c r="N39" s="1">
        <v>4.6878000000000002</v>
      </c>
      <c r="O39" s="3"/>
      <c r="P39" s="3"/>
    </row>
    <row r="40" spans="1:16" x14ac:dyDescent="0.3">
      <c r="A40" t="s">
        <v>25</v>
      </c>
      <c r="B40">
        <v>2013</v>
      </c>
      <c r="C40">
        <v>55519</v>
      </c>
      <c r="D40">
        <v>19342</v>
      </c>
      <c r="E40">
        <f t="shared" si="3"/>
        <v>127.33005055</v>
      </c>
      <c r="F40">
        <v>87309</v>
      </c>
      <c r="G40">
        <f t="shared" si="2"/>
        <v>92556.270900000003</v>
      </c>
      <c r="H40">
        <f t="shared" si="4"/>
        <v>5247.2709000000004</v>
      </c>
      <c r="I40" s="4">
        <v>0.34838523748626599</v>
      </c>
      <c r="J40" s="4">
        <v>0.22934499999999999</v>
      </c>
      <c r="K40" s="3">
        <v>1.50729E-2</v>
      </c>
      <c r="L40" s="3">
        <v>0.118644</v>
      </c>
      <c r="M40" s="1">
        <v>6.0100000000000001E-2</v>
      </c>
      <c r="N40" s="1">
        <v>4.5816999999999997</v>
      </c>
      <c r="O40" s="3"/>
      <c r="P40" s="3"/>
    </row>
    <row r="41" spans="1:16" x14ac:dyDescent="0.3">
      <c r="A41" t="s">
        <v>25</v>
      </c>
      <c r="B41">
        <v>2012</v>
      </c>
      <c r="C41">
        <v>46039</v>
      </c>
      <c r="D41">
        <v>16796</v>
      </c>
      <c r="E41">
        <f t="shared" si="3"/>
        <v>107.36985385</v>
      </c>
      <c r="F41">
        <v>71715</v>
      </c>
      <c r="G41">
        <f t="shared" si="2"/>
        <v>77251.398000000001</v>
      </c>
      <c r="H41">
        <f t="shared" si="4"/>
        <v>5536.3980000000001</v>
      </c>
      <c r="I41" s="4">
        <v>0.36482112991159676</v>
      </c>
      <c r="J41" s="4">
        <v>0.23321500000000001</v>
      </c>
      <c r="K41" s="3">
        <v>1.6109599999999998E-2</v>
      </c>
      <c r="L41" s="3">
        <v>0.123169</v>
      </c>
      <c r="M41" s="1">
        <v>7.7200000000000005E-2</v>
      </c>
      <c r="N41" s="1">
        <v>4.2165999999999997</v>
      </c>
      <c r="O41" s="3"/>
      <c r="P41" s="3"/>
    </row>
    <row r="42" spans="1:16" x14ac:dyDescent="0.3">
      <c r="A42" t="s">
        <v>25</v>
      </c>
      <c r="B42">
        <v>2011</v>
      </c>
      <c r="C42">
        <v>37905</v>
      </c>
      <c r="D42">
        <v>13593</v>
      </c>
      <c r="E42">
        <f t="shared" si="3"/>
        <v>97.369984949999974</v>
      </c>
      <c r="F42">
        <v>58145</v>
      </c>
      <c r="G42">
        <f t="shared" si="2"/>
        <v>62348.883499999996</v>
      </c>
      <c r="H42">
        <f t="shared" si="4"/>
        <v>4203.8834999999999</v>
      </c>
      <c r="I42" s="4">
        <v>0.3586070439256035</v>
      </c>
      <c r="J42" s="4">
        <v>0.25687899999999997</v>
      </c>
      <c r="K42" s="3">
        <v>1.67461E-2</v>
      </c>
      <c r="L42" s="3">
        <v>0.13416700000000001</v>
      </c>
      <c r="M42" s="1">
        <v>7.2300000000000003E-2</v>
      </c>
      <c r="N42" s="1">
        <v>5.9192</v>
      </c>
      <c r="O42" s="3"/>
      <c r="P42" s="3"/>
    </row>
    <row r="43" spans="1:16" x14ac:dyDescent="0.3">
      <c r="A43" t="s">
        <v>25</v>
      </c>
      <c r="B43">
        <v>2010</v>
      </c>
      <c r="C43">
        <v>29321</v>
      </c>
      <c r="D43">
        <v>11777</v>
      </c>
      <c r="E43">
        <f t="shared" si="3"/>
        <v>85.049958650000008</v>
      </c>
      <c r="F43">
        <v>46241</v>
      </c>
      <c r="G43">
        <f t="shared" si="2"/>
        <v>49704.450899999996</v>
      </c>
      <c r="H43">
        <f t="shared" si="4"/>
        <v>3463.4508999999998</v>
      </c>
      <c r="I43" s="4">
        <v>0.4016575150915726</v>
      </c>
      <c r="J43" s="4">
        <v>0.29006500000000002</v>
      </c>
      <c r="K43" s="3">
        <v>1.8392800000000001E-2</v>
      </c>
      <c r="L43" s="3">
        <v>0.14701599999999998</v>
      </c>
      <c r="M43" s="1">
        <v>7.4899999999999994E-2</v>
      </c>
      <c r="N43" s="1">
        <v>4.1578999999999997</v>
      </c>
      <c r="O43" s="3"/>
      <c r="P43" s="3"/>
    </row>
    <row r="44" spans="1:16" x14ac:dyDescent="0.3">
      <c r="A44" t="s">
        <v>25</v>
      </c>
      <c r="B44">
        <v>2009</v>
      </c>
      <c r="C44">
        <v>23651</v>
      </c>
      <c r="D44">
        <v>9836</v>
      </c>
      <c r="E44">
        <f t="shared" si="3"/>
        <v>65.19989425</v>
      </c>
      <c r="F44">
        <v>36004</v>
      </c>
      <c r="G44">
        <f t="shared" si="2"/>
        <v>36004</v>
      </c>
      <c r="H44">
        <f t="shared" si="4"/>
        <v>0</v>
      </c>
      <c r="I44" s="4">
        <v>0.41588093526700776</v>
      </c>
      <c r="J44" s="4">
        <v>0.275675</v>
      </c>
      <c r="K44" s="3">
        <v>1.8109100000000003E-2</v>
      </c>
      <c r="L44" s="3">
        <v>0.161</v>
      </c>
      <c r="M44" s="1">
        <v>0</v>
      </c>
      <c r="N44" s="1">
        <v>10.617800000000001</v>
      </c>
      <c r="O44" s="3"/>
      <c r="P44" s="3"/>
    </row>
    <row r="45" spans="1:16" x14ac:dyDescent="0.3">
      <c r="A45" t="s">
        <v>26</v>
      </c>
      <c r="B45">
        <v>2022</v>
      </c>
      <c r="C45">
        <v>27518</v>
      </c>
      <c r="D45">
        <v>5154</v>
      </c>
      <c r="E45">
        <f t="shared" si="3"/>
        <v>24.189973080000001</v>
      </c>
      <c r="F45">
        <v>20274</v>
      </c>
      <c r="G45">
        <f t="shared" si="2"/>
        <v>30690.781200000001</v>
      </c>
      <c r="H45">
        <f t="shared" si="4"/>
        <v>10416.781200000001</v>
      </c>
      <c r="I45" s="4">
        <v>0.18729558834217602</v>
      </c>
      <c r="J45" s="4">
        <v>8.7905999999999998E-2</v>
      </c>
      <c r="K45" s="3">
        <v>1.1931499999999999E-2</v>
      </c>
      <c r="L45" s="3">
        <v>3.073E-2</v>
      </c>
      <c r="M45" s="1">
        <v>0.51380000000000003</v>
      </c>
      <c r="N45" s="1">
        <v>1.2753000000000001</v>
      </c>
      <c r="O45" s="3"/>
      <c r="P45" s="3"/>
    </row>
    <row r="46" spans="1:16" x14ac:dyDescent="0.3">
      <c r="A46" t="s">
        <v>26</v>
      </c>
      <c r="B46">
        <v>2021</v>
      </c>
      <c r="C46">
        <v>25371</v>
      </c>
      <c r="D46">
        <v>5527</v>
      </c>
      <c r="E46">
        <f t="shared" si="3"/>
        <v>41.690134620000009</v>
      </c>
      <c r="F46">
        <v>21727</v>
      </c>
      <c r="G46">
        <f t="shared" si="2"/>
        <v>29776.853500000001</v>
      </c>
      <c r="H46">
        <f t="shared" si="4"/>
        <v>8049.8535000000002</v>
      </c>
      <c r="I46" s="4">
        <v>0.21784714831894683</v>
      </c>
      <c r="J46" s="4">
        <v>0.16432200000000002</v>
      </c>
      <c r="K46" s="3">
        <v>1.91881E-2</v>
      </c>
      <c r="L46" s="3">
        <v>5.4997999999999998E-2</v>
      </c>
      <c r="M46" s="1">
        <v>0.3705</v>
      </c>
      <c r="N46" s="1">
        <v>1.2218</v>
      </c>
      <c r="O46" s="3"/>
      <c r="P46" s="3"/>
    </row>
    <row r="47" spans="1:16" x14ac:dyDescent="0.3">
      <c r="A47" t="s">
        <v>26</v>
      </c>
      <c r="B47">
        <v>2020</v>
      </c>
      <c r="C47">
        <v>21454</v>
      </c>
      <c r="D47">
        <v>4478</v>
      </c>
      <c r="E47">
        <f t="shared" si="3"/>
        <v>42.02001894</v>
      </c>
      <c r="F47">
        <v>20063</v>
      </c>
      <c r="G47">
        <f t="shared" si="2"/>
        <v>29001.066500000001</v>
      </c>
      <c r="H47">
        <f t="shared" si="4"/>
        <v>8938.0665000000008</v>
      </c>
      <c r="I47" s="4">
        <v>0.2087256455672602</v>
      </c>
      <c r="J47" s="4">
        <v>0.19586099999999998</v>
      </c>
      <c r="K47" s="3">
        <v>2.0943999999999997E-2</v>
      </c>
      <c r="L47" s="3">
        <v>5.9705000000000001E-2</v>
      </c>
      <c r="M47" s="1">
        <v>0.44550000000000001</v>
      </c>
      <c r="N47" s="1">
        <v>1.3264</v>
      </c>
      <c r="O47" s="3"/>
      <c r="P47" s="3"/>
    </row>
    <row r="48" spans="1:16" x14ac:dyDescent="0.3">
      <c r="A48" t="s">
        <v>26</v>
      </c>
      <c r="B48">
        <v>2019</v>
      </c>
      <c r="C48">
        <v>17772</v>
      </c>
      <c r="D48">
        <v>3631</v>
      </c>
      <c r="E48">
        <f t="shared" si="3"/>
        <v>24.590050079999997</v>
      </c>
      <c r="F48">
        <v>16929</v>
      </c>
      <c r="G48">
        <f t="shared" si="2"/>
        <v>21894.275699999998</v>
      </c>
      <c r="H48">
        <f t="shared" si="4"/>
        <v>4965.2757000000001</v>
      </c>
      <c r="I48" s="4">
        <v>0.20431015079900969</v>
      </c>
      <c r="J48" s="4">
        <v>0.13836399999999999</v>
      </c>
      <c r="K48" s="3">
        <v>1.4525399999999999E-2</v>
      </c>
      <c r="L48" s="3">
        <v>4.7903000000000001E-2</v>
      </c>
      <c r="M48" s="1">
        <v>0.29330000000000001</v>
      </c>
      <c r="N48" s="1">
        <v>1.43</v>
      </c>
      <c r="O48" s="3"/>
      <c r="P48" s="3"/>
    </row>
    <row r="49" spans="1:16" x14ac:dyDescent="0.3">
      <c r="A49" t="s">
        <v>26</v>
      </c>
      <c r="B49">
        <v>2018</v>
      </c>
      <c r="C49">
        <v>15451</v>
      </c>
      <c r="D49">
        <v>2970</v>
      </c>
      <c r="E49">
        <f t="shared" si="3"/>
        <v>20.570070810000001</v>
      </c>
      <c r="F49">
        <v>15386</v>
      </c>
      <c r="G49">
        <f t="shared" si="2"/>
        <v>17384.6414</v>
      </c>
      <c r="H49">
        <f t="shared" si="4"/>
        <v>1998.6413999999997</v>
      </c>
      <c r="I49" s="4">
        <v>0.19222056824800984</v>
      </c>
      <c r="J49" s="4">
        <v>0.133131</v>
      </c>
      <c r="K49" s="3">
        <v>1.3369300000000002E-2</v>
      </c>
      <c r="L49" s="3">
        <v>4.7470999999999999E-2</v>
      </c>
      <c r="M49" s="1">
        <v>0.12989999999999999</v>
      </c>
      <c r="N49" s="1">
        <v>1.2725</v>
      </c>
      <c r="O49" s="3"/>
      <c r="P49" s="3"/>
    </row>
    <row r="50" spans="1:16" x14ac:dyDescent="0.3">
      <c r="A50" t="s">
        <v>26</v>
      </c>
      <c r="B50">
        <v>2017</v>
      </c>
      <c r="C50">
        <v>13094</v>
      </c>
      <c r="D50">
        <v>2932</v>
      </c>
      <c r="E50">
        <f t="shared" si="3"/>
        <v>17.95004084</v>
      </c>
      <c r="F50">
        <v>15994</v>
      </c>
      <c r="G50">
        <f t="shared" si="2"/>
        <v>16993.625</v>
      </c>
      <c r="H50">
        <f t="shared" si="4"/>
        <v>999.625</v>
      </c>
      <c r="I50" s="4">
        <v>0.22391935237513366</v>
      </c>
      <c r="J50" s="4">
        <v>0.13708600000000001</v>
      </c>
      <c r="K50" s="3">
        <v>1.1223E-2</v>
      </c>
      <c r="L50" s="3">
        <v>4.4023000000000007E-2</v>
      </c>
      <c r="M50" s="1">
        <v>6.25E-2</v>
      </c>
      <c r="N50" s="1">
        <v>1.4278999999999999</v>
      </c>
      <c r="O50" s="3"/>
      <c r="P50" s="3"/>
    </row>
    <row r="51" spans="1:16" x14ac:dyDescent="0.3">
      <c r="A51" t="s">
        <v>26</v>
      </c>
      <c r="B51">
        <v>2016</v>
      </c>
      <c r="C51">
        <v>10842</v>
      </c>
      <c r="D51">
        <v>2310</v>
      </c>
      <c r="E51">
        <f t="shared" si="3"/>
        <v>14.0100324</v>
      </c>
      <c r="F51">
        <v>14712</v>
      </c>
      <c r="G51">
        <f t="shared" si="2"/>
        <v>14712</v>
      </c>
      <c r="H51">
        <f t="shared" si="4"/>
        <v>0</v>
      </c>
      <c r="I51" s="4">
        <v>0.21306032097399</v>
      </c>
      <c r="J51" s="4">
        <v>0.12922</v>
      </c>
      <c r="K51" s="3">
        <v>9.5227999999999997E-3</v>
      </c>
      <c r="L51" s="3">
        <v>4.2321999999999999E-2</v>
      </c>
      <c r="M51" s="1">
        <v>0</v>
      </c>
      <c r="N51" s="1">
        <v>1.5246</v>
      </c>
      <c r="O51" s="3"/>
      <c r="P51" s="3"/>
    </row>
    <row r="52" spans="1:16" x14ac:dyDescent="0.3">
      <c r="A52" t="s">
        <v>26</v>
      </c>
      <c r="B52">
        <v>2015</v>
      </c>
      <c r="C52">
        <v>9248</v>
      </c>
      <c r="D52">
        <v>2069</v>
      </c>
      <c r="E52">
        <f t="shared" si="3"/>
        <v>12.28004928</v>
      </c>
      <c r="F52">
        <v>13759</v>
      </c>
      <c r="G52">
        <f t="shared" si="2"/>
        <v>13759</v>
      </c>
      <c r="H52">
        <f t="shared" si="4"/>
        <v>0</v>
      </c>
      <c r="I52" s="4">
        <v>0.22372404844290655</v>
      </c>
      <c r="J52" s="4">
        <v>0.13278600000000002</v>
      </c>
      <c r="K52" s="3">
        <v>8.9251E-3</v>
      </c>
      <c r="L52" s="3">
        <v>4.2519000000000001E-2</v>
      </c>
      <c r="M52" s="1">
        <v>0</v>
      </c>
      <c r="N52" s="1">
        <v>1.5163</v>
      </c>
      <c r="O52" s="3"/>
      <c r="P52" s="3"/>
    </row>
    <row r="53" spans="1:16" x14ac:dyDescent="0.3">
      <c r="A53" t="s">
        <v>26</v>
      </c>
      <c r="B53">
        <v>2014</v>
      </c>
      <c r="C53">
        <v>8025</v>
      </c>
      <c r="D53">
        <v>1784</v>
      </c>
      <c r="E53">
        <f t="shared" si="3"/>
        <v>4.1900129999999995</v>
      </c>
      <c r="F53">
        <v>8248</v>
      </c>
      <c r="G53">
        <f t="shared" si="2"/>
        <v>9340.86</v>
      </c>
      <c r="H53">
        <f t="shared" si="4"/>
        <v>1092.8600000000001</v>
      </c>
      <c r="I53" s="4">
        <v>0.2223052959501558</v>
      </c>
      <c r="J53" s="4">
        <v>5.2211999999999995E-2</v>
      </c>
      <c r="K53" s="3">
        <v>5.0800000000000003E-3</v>
      </c>
      <c r="L53" s="3">
        <v>1.9118E-2</v>
      </c>
      <c r="M53" s="1">
        <v>0.13250000000000001</v>
      </c>
      <c r="N53" s="1">
        <v>1.3224</v>
      </c>
      <c r="O53" s="3"/>
      <c r="P53" s="3"/>
    </row>
    <row r="54" spans="1:16" x14ac:dyDescent="0.3">
      <c r="A54" t="s">
        <v>28</v>
      </c>
      <c r="B54">
        <v>2022</v>
      </c>
      <c r="C54">
        <v>56437</v>
      </c>
      <c r="D54">
        <v>20640</v>
      </c>
      <c r="E54">
        <f t="shared" si="3"/>
        <v>102.46983905</v>
      </c>
      <c r="F54">
        <v>42235</v>
      </c>
      <c r="G54">
        <f t="shared" si="2"/>
        <v>69413.222500000003</v>
      </c>
      <c r="H54">
        <f t="shared" si="4"/>
        <v>27178.2225</v>
      </c>
      <c r="I54" s="4">
        <v>0.36571752573666211</v>
      </c>
      <c r="J54" s="4">
        <v>0.181565</v>
      </c>
      <c r="K54" s="3">
        <v>2.7008400000000002E-2</v>
      </c>
      <c r="L54" s="3">
        <v>2.1410999999999999E-2</v>
      </c>
      <c r="M54" s="1">
        <v>0.64349999999999996</v>
      </c>
      <c r="N54" s="1">
        <v>1</v>
      </c>
      <c r="O54" s="3"/>
      <c r="P54" s="3"/>
    </row>
    <row r="55" spans="1:16" x14ac:dyDescent="0.3">
      <c r="A55" t="s">
        <v>28</v>
      </c>
      <c r="B55">
        <v>2021</v>
      </c>
      <c r="C55">
        <v>52057</v>
      </c>
      <c r="D55">
        <v>15382</v>
      </c>
      <c r="E55">
        <f t="shared" si="3"/>
        <v>93.590156879999995</v>
      </c>
      <c r="F55">
        <v>68912</v>
      </c>
      <c r="G55">
        <f t="shared" si="2"/>
        <v>99074.782399999996</v>
      </c>
      <c r="H55">
        <f t="shared" si="4"/>
        <v>30162.7824</v>
      </c>
      <c r="I55" s="4">
        <v>0.2954837966075648</v>
      </c>
      <c r="J55" s="4">
        <v>0.179784</v>
      </c>
      <c r="K55" s="3">
        <v>1.4501599999999998E-2</v>
      </c>
      <c r="L55" s="3">
        <v>1.6646000000000001E-2</v>
      </c>
      <c r="M55" s="1">
        <v>0.43769999999999998</v>
      </c>
      <c r="N55" s="1">
        <v>1</v>
      </c>
      <c r="O55" s="3"/>
      <c r="P55" s="3"/>
    </row>
    <row r="56" spans="1:16" x14ac:dyDescent="0.3">
      <c r="A56" t="s">
        <v>28</v>
      </c>
      <c r="B56">
        <v>2020</v>
      </c>
      <c r="C56">
        <v>43736</v>
      </c>
      <c r="D56">
        <v>6821</v>
      </c>
      <c r="E56">
        <f t="shared" si="3"/>
        <v>-59.729817839999995</v>
      </c>
      <c r="F56">
        <v>67199</v>
      </c>
      <c r="G56">
        <f t="shared" si="2"/>
        <v>104736.36139999999</v>
      </c>
      <c r="H56">
        <f t="shared" si="4"/>
        <v>37537.361400000002</v>
      </c>
      <c r="I56" s="4">
        <v>0.15595847814157673</v>
      </c>
      <c r="J56" s="4">
        <v>-0.136569</v>
      </c>
      <c r="K56" s="3">
        <v>-8.743299999999999E-3</v>
      </c>
      <c r="L56" s="3">
        <v>-9.946E-3</v>
      </c>
      <c r="M56" s="1">
        <v>0.55859999999999999</v>
      </c>
      <c r="N56" s="1">
        <v>1</v>
      </c>
      <c r="O56" s="3"/>
      <c r="P56" s="3"/>
    </row>
    <row r="57" spans="1:16" x14ac:dyDescent="0.3">
      <c r="A57" t="s">
        <v>28</v>
      </c>
      <c r="B57">
        <v>2019</v>
      </c>
      <c r="C57">
        <v>49746</v>
      </c>
      <c r="D57">
        <v>11817</v>
      </c>
      <c r="E57">
        <f t="shared" si="3"/>
        <v>33.260175600000004</v>
      </c>
      <c r="F57">
        <v>67427</v>
      </c>
      <c r="G57">
        <f t="shared" si="2"/>
        <v>102778.9761</v>
      </c>
      <c r="H57">
        <f t="shared" si="4"/>
        <v>35351.9761</v>
      </c>
      <c r="I57" s="4">
        <v>0.23754673742612473</v>
      </c>
      <c r="J57" s="4">
        <v>6.6860000000000003E-2</v>
      </c>
      <c r="K57" s="3">
        <v>6.1561000000000003E-3</v>
      </c>
      <c r="L57" s="3">
        <v>7.8490000000000001E-3</v>
      </c>
      <c r="M57" s="1">
        <v>0.52429999999999999</v>
      </c>
      <c r="N57" s="1">
        <v>1</v>
      </c>
      <c r="O57" s="3"/>
      <c r="P57" s="3"/>
    </row>
    <row r="58" spans="1:16" x14ac:dyDescent="0.3">
      <c r="A58" t="s">
        <v>28</v>
      </c>
      <c r="B58">
        <v>2018</v>
      </c>
      <c r="C58">
        <v>47389</v>
      </c>
      <c r="D58">
        <v>6897</v>
      </c>
      <c r="E58">
        <f t="shared" si="3"/>
        <v>-6.0184029999999999E-2</v>
      </c>
      <c r="F58">
        <v>57309</v>
      </c>
      <c r="G58">
        <f t="shared" si="2"/>
        <v>91849.134300000005</v>
      </c>
      <c r="H58">
        <f t="shared" si="4"/>
        <v>34540.134299999998</v>
      </c>
      <c r="I58" s="4">
        <v>0.14554010424360084</v>
      </c>
      <c r="J58" s="4">
        <v>-1.27E-4</v>
      </c>
      <c r="K58" s="3">
        <v>1.797E-4</v>
      </c>
      <c r="L58" s="3">
        <v>2.0899999999999998E-4</v>
      </c>
      <c r="M58" s="1">
        <v>0.60270000000000001</v>
      </c>
      <c r="N58" s="1">
        <v>1</v>
      </c>
      <c r="O58" s="3"/>
      <c r="P58" s="3"/>
    </row>
    <row r="59" spans="1:16" x14ac:dyDescent="0.3">
      <c r="A59" t="s">
        <v>28</v>
      </c>
      <c r="B59">
        <v>2017</v>
      </c>
      <c r="C59">
        <v>49520</v>
      </c>
      <c r="D59">
        <v>6435</v>
      </c>
      <c r="E59">
        <f t="shared" si="3"/>
        <v>-60.839776800000003</v>
      </c>
      <c r="F59">
        <v>65708</v>
      </c>
      <c r="G59">
        <f t="shared" si="2"/>
        <v>97346.402000000002</v>
      </c>
      <c r="H59">
        <f t="shared" si="4"/>
        <v>31638.401999999998</v>
      </c>
      <c r="I59" s="4">
        <v>0.12994749596122779</v>
      </c>
      <c r="J59" s="4">
        <v>-0.122859</v>
      </c>
      <c r="K59" s="3">
        <v>-9.2225999999999992E-3</v>
      </c>
      <c r="L59" s="3">
        <v>-1.2161E-2</v>
      </c>
      <c r="M59" s="1">
        <v>0.48149999999999998</v>
      </c>
      <c r="N59" s="1">
        <v>1</v>
      </c>
      <c r="O59" s="3"/>
      <c r="P59" s="3"/>
    </row>
    <row r="60" spans="1:16" x14ac:dyDescent="0.3">
      <c r="A60" t="s">
        <v>28</v>
      </c>
      <c r="B60">
        <v>2016</v>
      </c>
      <c r="C60">
        <v>52367</v>
      </c>
      <c r="D60">
        <v>4805</v>
      </c>
      <c r="E60">
        <f t="shared" si="3"/>
        <v>-8.4902617099999986</v>
      </c>
      <c r="F60">
        <v>76858</v>
      </c>
      <c r="G60">
        <f t="shared" si="2"/>
        <v>107770.2876</v>
      </c>
      <c r="H60">
        <f t="shared" si="4"/>
        <v>30912.2876</v>
      </c>
      <c r="I60" s="4">
        <v>9.1756258712547958E-2</v>
      </c>
      <c r="J60" s="4">
        <v>-1.6212999999999998E-2</v>
      </c>
      <c r="K60" s="3">
        <v>-3.3700000000000001E-4</v>
      </c>
      <c r="L60" s="3">
        <v>-5.1999999999999995E-4</v>
      </c>
      <c r="M60" s="1">
        <v>0.4022</v>
      </c>
      <c r="N60" s="1">
        <v>1</v>
      </c>
      <c r="O60" s="3"/>
      <c r="P60" s="3"/>
    </row>
    <row r="61" spans="1:16" x14ac:dyDescent="0.3">
      <c r="A61" t="s">
        <v>28</v>
      </c>
      <c r="B61">
        <v>2015</v>
      </c>
      <c r="C61">
        <v>58327</v>
      </c>
      <c r="D61">
        <v>9958</v>
      </c>
      <c r="E61">
        <f t="shared" si="3"/>
        <v>21.960115500000001</v>
      </c>
      <c r="F61">
        <v>90210</v>
      </c>
      <c r="G61">
        <f t="shared" si="2"/>
        <v>119456.08199999999</v>
      </c>
      <c r="H61">
        <f t="shared" si="4"/>
        <v>29246.081999999999</v>
      </c>
      <c r="I61" s="4">
        <v>0.17072710751453016</v>
      </c>
      <c r="J61" s="4">
        <v>3.7650000000000003E-2</v>
      </c>
      <c r="K61" s="3">
        <v>2.4630999999999998E-3</v>
      </c>
      <c r="L61" s="3">
        <v>4.4720000000000003E-3</v>
      </c>
      <c r="M61" s="1">
        <v>0.32419999999999999</v>
      </c>
      <c r="N61" s="1">
        <v>1</v>
      </c>
      <c r="O61" s="3"/>
      <c r="P61" s="3"/>
    </row>
    <row r="62" spans="1:16" x14ac:dyDescent="0.3">
      <c r="A62" t="s">
        <v>28</v>
      </c>
      <c r="B62">
        <v>2014</v>
      </c>
      <c r="C62">
        <v>64406</v>
      </c>
      <c r="D62">
        <v>16752</v>
      </c>
      <c r="E62">
        <f t="shared" si="3"/>
        <v>75.289969940000006</v>
      </c>
      <c r="F62">
        <v>107272</v>
      </c>
      <c r="G62">
        <f t="shared" si="2"/>
        <v>138488.152</v>
      </c>
      <c r="H62">
        <f t="shared" si="4"/>
        <v>31216.151999999998</v>
      </c>
      <c r="I62" s="4">
        <v>0.26009999068409778</v>
      </c>
      <c r="J62" s="4">
        <v>0.116899</v>
      </c>
      <c r="K62" s="3">
        <v>7.0606000000000002E-3</v>
      </c>
      <c r="L62" s="3">
        <v>1.4690000000000002E-2</v>
      </c>
      <c r="M62" s="1">
        <v>0.29099999999999998</v>
      </c>
      <c r="N62" s="1">
        <v>1</v>
      </c>
      <c r="O62" s="3"/>
      <c r="P62" s="3"/>
    </row>
    <row r="63" spans="1:16" x14ac:dyDescent="0.3">
      <c r="A63" t="s">
        <v>28</v>
      </c>
      <c r="B63">
        <v>2013</v>
      </c>
      <c r="C63">
        <v>68874</v>
      </c>
      <c r="D63">
        <v>16922</v>
      </c>
      <c r="E63">
        <f t="shared" si="3"/>
        <v>90.85031592</v>
      </c>
      <c r="F63">
        <v>101081</v>
      </c>
      <c r="G63">
        <f t="shared" si="2"/>
        <v>142776.91250000001</v>
      </c>
      <c r="H63">
        <f t="shared" si="4"/>
        <v>41695.912499999999</v>
      </c>
      <c r="I63" s="4">
        <v>0.24569503731451636</v>
      </c>
      <c r="J63" s="4">
        <v>0.131908</v>
      </c>
      <c r="K63" s="3">
        <v>8.9116999999999998E-3</v>
      </c>
      <c r="L63" s="3">
        <v>1.6641E-2</v>
      </c>
      <c r="M63" s="1">
        <v>0.41249999999999998</v>
      </c>
      <c r="N63" s="1">
        <v>1</v>
      </c>
      <c r="O63" s="3"/>
      <c r="P63" s="3"/>
    </row>
    <row r="64" spans="1:16" x14ac:dyDescent="0.3">
      <c r="A64" t="s">
        <v>28</v>
      </c>
      <c r="B64">
        <v>2012</v>
      </c>
      <c r="C64">
        <v>71214</v>
      </c>
      <c r="D64">
        <v>19327</v>
      </c>
      <c r="E64">
        <f t="shared" si="3"/>
        <v>34.379982779999999</v>
      </c>
      <c r="F64">
        <v>98669</v>
      </c>
      <c r="G64">
        <f t="shared" si="2"/>
        <v>147164.81349999999</v>
      </c>
      <c r="H64">
        <f t="shared" si="4"/>
        <v>48495.813499999997</v>
      </c>
      <c r="I64" s="4">
        <v>0.27139326536916897</v>
      </c>
      <c r="J64" s="4">
        <v>4.8277E-2</v>
      </c>
      <c r="K64" s="3">
        <v>3.7488999999999999E-3</v>
      </c>
      <c r="L64" s="3">
        <v>6.7420000000000006E-3</v>
      </c>
      <c r="M64" s="1">
        <v>0.49149999999999999</v>
      </c>
      <c r="N64" s="1">
        <v>1</v>
      </c>
      <c r="O64" s="3"/>
      <c r="P64" s="3"/>
    </row>
    <row r="65" spans="1:16" x14ac:dyDescent="0.3">
      <c r="A65" t="s">
        <v>28</v>
      </c>
      <c r="B65">
        <v>2011</v>
      </c>
      <c r="C65">
        <v>65105</v>
      </c>
      <c r="D65">
        <v>15225</v>
      </c>
      <c r="E65">
        <f t="shared" si="3"/>
        <v>198.1001919</v>
      </c>
      <c r="F65">
        <v>102393</v>
      </c>
      <c r="G65">
        <f t="shared" si="2"/>
        <v>177641.61569999999</v>
      </c>
      <c r="H65">
        <f t="shared" si="4"/>
        <v>75248.615699999995</v>
      </c>
      <c r="I65" s="4">
        <v>0.23385300668151449</v>
      </c>
      <c r="J65" s="4">
        <v>0.30427799999999999</v>
      </c>
      <c r="K65" s="3">
        <v>1.84222E-2</v>
      </c>
      <c r="L65" s="3">
        <v>3.4106999999999998E-2</v>
      </c>
      <c r="M65" s="1">
        <v>0.7349</v>
      </c>
      <c r="N65" s="1">
        <v>1</v>
      </c>
      <c r="O65" s="3"/>
      <c r="P65" s="3"/>
    </row>
    <row r="66" spans="1:16" x14ac:dyDescent="0.3">
      <c r="A66" t="s">
        <v>28</v>
      </c>
      <c r="B66">
        <v>2010</v>
      </c>
      <c r="C66">
        <v>72829</v>
      </c>
      <c r="D66">
        <v>21166</v>
      </c>
      <c r="E66">
        <f t="shared" ref="E66:E97" si="5">(C66*J66/100)</f>
        <v>20.459850970000002</v>
      </c>
      <c r="F66">
        <v>113239</v>
      </c>
      <c r="G66">
        <f t="shared" si="2"/>
        <v>198711.7972</v>
      </c>
      <c r="H66">
        <f t="shared" ref="H66:H97" si="6">(F66*M66)</f>
        <v>85472.797200000001</v>
      </c>
      <c r="I66" s="4">
        <v>0.29062598690082247</v>
      </c>
      <c r="J66" s="4">
        <v>2.8093E-2</v>
      </c>
      <c r="K66" s="3">
        <v>3.2126200000000001E-2</v>
      </c>
      <c r="L66" s="3">
        <v>1.9393000000000001E-2</v>
      </c>
      <c r="M66" s="1">
        <v>0.75480000000000003</v>
      </c>
      <c r="N66" s="1">
        <v>1</v>
      </c>
      <c r="O66" s="3"/>
      <c r="P66" s="3"/>
    </row>
    <row r="67" spans="1:16" x14ac:dyDescent="0.3">
      <c r="A67" t="s">
        <v>28</v>
      </c>
      <c r="B67">
        <v>2009</v>
      </c>
      <c r="C67">
        <v>75447</v>
      </c>
      <c r="D67">
        <v>27765</v>
      </c>
      <c r="E67">
        <f t="shared" si="5"/>
        <v>-122.43991842000001</v>
      </c>
      <c r="F67">
        <v>98076</v>
      </c>
      <c r="G67">
        <f t="shared" ref="G67:G130" si="7">(F67+H67)</f>
        <v>211373.3952</v>
      </c>
      <c r="H67">
        <f t="shared" si="6"/>
        <v>113297.3952</v>
      </c>
      <c r="I67" s="4">
        <v>0.3680066801860909</v>
      </c>
      <c r="J67" s="4">
        <v>-0.16228600000000001</v>
      </c>
      <c r="K67" s="3">
        <v>-4.5306100000000002E-2</v>
      </c>
      <c r="L67" s="3">
        <v>-1.5122999999999999E-2</v>
      </c>
      <c r="M67" s="1">
        <v>1.1552</v>
      </c>
      <c r="N67" s="1">
        <v>1</v>
      </c>
      <c r="O67" s="3"/>
      <c r="P67" s="3"/>
    </row>
    <row r="68" spans="1:16" x14ac:dyDescent="0.3">
      <c r="A68" t="s">
        <v>30</v>
      </c>
      <c r="B68">
        <v>2022</v>
      </c>
      <c r="C68">
        <v>21680</v>
      </c>
      <c r="D68">
        <v>5693</v>
      </c>
      <c r="E68">
        <f t="shared" si="5"/>
        <v>18.0000368</v>
      </c>
      <c r="F68">
        <v>23075</v>
      </c>
      <c r="G68">
        <f t="shared" si="7"/>
        <v>75139.122499999998</v>
      </c>
      <c r="H68">
        <f t="shared" si="6"/>
        <v>52064.122499999998</v>
      </c>
      <c r="I68" s="4">
        <v>0.26259225092250921</v>
      </c>
      <c r="J68" s="4">
        <v>8.3026000000000003E-2</v>
      </c>
      <c r="K68" s="3">
        <v>7.8612999999999999E-3</v>
      </c>
      <c r="L68" s="3">
        <v>1.5288999999999999E-2</v>
      </c>
      <c r="M68" s="1">
        <v>2.2563</v>
      </c>
      <c r="N68" s="1">
        <v>0.81169999999999998</v>
      </c>
      <c r="O68" s="3"/>
      <c r="P68" s="3"/>
    </row>
    <row r="69" spans="1:16" x14ac:dyDescent="0.3">
      <c r="A69" t="s">
        <v>30</v>
      </c>
      <c r="B69">
        <v>2021</v>
      </c>
      <c r="C69">
        <v>20642</v>
      </c>
      <c r="D69">
        <v>5286</v>
      </c>
      <c r="E69">
        <f t="shared" si="5"/>
        <v>-1.0199212199999999</v>
      </c>
      <c r="F69">
        <v>21223</v>
      </c>
      <c r="G69">
        <f t="shared" si="7"/>
        <v>66113.889599999995</v>
      </c>
      <c r="H69">
        <f t="shared" si="6"/>
        <v>44890.889600000002</v>
      </c>
      <c r="I69" s="4">
        <v>0.2560798372250751</v>
      </c>
      <c r="J69" s="4">
        <v>-4.9410000000000001E-3</v>
      </c>
      <c r="K69" s="3">
        <v>-4.1460000000000005E-4</v>
      </c>
      <c r="L69" s="3">
        <v>-8.52E-4</v>
      </c>
      <c r="M69" s="1">
        <v>2.1152000000000002</v>
      </c>
      <c r="N69" s="1">
        <v>0.63560000000000005</v>
      </c>
      <c r="O69" s="3"/>
      <c r="P69" s="3"/>
    </row>
    <row r="70" spans="1:16" x14ac:dyDescent="0.3">
      <c r="A70" t="s">
        <v>30</v>
      </c>
      <c r="B70">
        <v>2020</v>
      </c>
      <c r="C70">
        <v>18469</v>
      </c>
      <c r="D70">
        <v>5223</v>
      </c>
      <c r="E70">
        <f t="shared" si="5"/>
        <v>-13.18003247</v>
      </c>
      <c r="F70">
        <v>21253</v>
      </c>
      <c r="G70">
        <f t="shared" si="7"/>
        <v>62116.143100000001</v>
      </c>
      <c r="H70">
        <f t="shared" si="6"/>
        <v>40863.143100000001</v>
      </c>
      <c r="I70" s="4">
        <v>0.28279820239319942</v>
      </c>
      <c r="J70" s="4">
        <v>-7.136300000000001E-2</v>
      </c>
      <c r="K70" s="3">
        <v>-6.1355999999999997E-3</v>
      </c>
      <c r="L70" s="3">
        <v>-1.3325999999999999E-2</v>
      </c>
      <c r="M70" s="1">
        <v>1.9227000000000001</v>
      </c>
      <c r="N70" s="1">
        <v>0.70699999999999996</v>
      </c>
      <c r="O70" s="3"/>
      <c r="P70" s="3"/>
    </row>
    <row r="71" spans="1:16" x14ac:dyDescent="0.3">
      <c r="A71" t="s">
        <v>30</v>
      </c>
      <c r="B71">
        <v>2019</v>
      </c>
      <c r="C71">
        <v>17129</v>
      </c>
      <c r="D71">
        <v>-6860</v>
      </c>
      <c r="E71">
        <f t="shared" si="5"/>
        <v>-76.559949689999996</v>
      </c>
      <c r="F71">
        <v>5388</v>
      </c>
      <c r="G71">
        <f t="shared" si="7"/>
        <v>5388</v>
      </c>
      <c r="H71">
        <f t="shared" si="6"/>
        <v>0</v>
      </c>
      <c r="I71" s="4">
        <v>-0.40049039640375972</v>
      </c>
      <c r="J71" s="4">
        <v>-0.446961</v>
      </c>
      <c r="K71" s="3">
        <v>-0.14183370000000001</v>
      </c>
      <c r="L71" s="3">
        <v>-8.9699000000000015E-2</v>
      </c>
      <c r="M71" s="1">
        <v>0</v>
      </c>
      <c r="N71" s="1">
        <v>1.3321000000000001</v>
      </c>
      <c r="O71" s="3"/>
      <c r="P71" s="3"/>
    </row>
    <row r="72" spans="1:16" x14ac:dyDescent="0.3">
      <c r="A72" t="s">
        <v>30</v>
      </c>
      <c r="B72">
        <v>2018</v>
      </c>
      <c r="C72">
        <v>16759</v>
      </c>
      <c r="D72">
        <v>-6664</v>
      </c>
      <c r="E72">
        <f t="shared" si="5"/>
        <v>-68.509954050000005</v>
      </c>
      <c r="F72">
        <v>12903</v>
      </c>
      <c r="G72">
        <f t="shared" si="7"/>
        <v>34897.453800000003</v>
      </c>
      <c r="H72">
        <f t="shared" si="6"/>
        <v>21994.453799999999</v>
      </c>
      <c r="I72" s="4">
        <v>-0.39763709051852736</v>
      </c>
      <c r="J72" s="4">
        <v>-0.40879500000000002</v>
      </c>
      <c r="K72" s="3">
        <v>-5.2987699999999992E-2</v>
      </c>
      <c r="L72" s="3">
        <v>-8.8797999999999988E-2</v>
      </c>
      <c r="M72" s="1">
        <v>1.7045999999999999</v>
      </c>
      <c r="N72" s="1">
        <v>0.2205</v>
      </c>
      <c r="O72" s="3"/>
      <c r="P72" s="3"/>
    </row>
    <row r="73" spans="1:16" x14ac:dyDescent="0.3">
      <c r="A73" t="s">
        <v>30</v>
      </c>
      <c r="B73">
        <v>2017</v>
      </c>
      <c r="C73">
        <v>17135</v>
      </c>
      <c r="D73">
        <v>5759</v>
      </c>
      <c r="E73">
        <f t="shared" si="5"/>
        <v>16.460052349999998</v>
      </c>
      <c r="F73">
        <v>19472</v>
      </c>
      <c r="G73">
        <f t="shared" si="7"/>
        <v>38601.292799999996</v>
      </c>
      <c r="H73">
        <f t="shared" si="6"/>
        <v>19129.292799999999</v>
      </c>
      <c r="I73" s="4">
        <v>0.33609571053399473</v>
      </c>
      <c r="J73" s="4">
        <v>9.6060999999999994E-2</v>
      </c>
      <c r="K73" s="3">
        <v>8.5251000000000007E-3</v>
      </c>
      <c r="L73" s="3">
        <v>2.4407000000000002E-2</v>
      </c>
      <c r="M73" s="1">
        <v>0.98240000000000005</v>
      </c>
      <c r="N73" s="1">
        <v>0.88100000000000001</v>
      </c>
      <c r="O73" s="3"/>
      <c r="P73" s="3"/>
    </row>
    <row r="74" spans="1:16" x14ac:dyDescent="0.3">
      <c r="A74" t="s">
        <v>30</v>
      </c>
      <c r="B74">
        <v>2016</v>
      </c>
      <c r="C74">
        <v>17666</v>
      </c>
      <c r="D74">
        <v>4835</v>
      </c>
      <c r="E74">
        <f t="shared" si="5"/>
        <v>13.92999432</v>
      </c>
      <c r="F74">
        <v>18192</v>
      </c>
      <c r="G74">
        <f t="shared" si="7"/>
        <v>36627.772800000006</v>
      </c>
      <c r="H74">
        <f t="shared" si="6"/>
        <v>18435.772800000002</v>
      </c>
      <c r="I74" s="4">
        <v>0.27368957319144116</v>
      </c>
      <c r="J74" s="4">
        <v>7.8852000000000005E-2</v>
      </c>
      <c r="K74" s="3">
        <v>7.7342000000000001E-3</v>
      </c>
      <c r="L74" s="3">
        <v>2.0510999999999998E-2</v>
      </c>
      <c r="M74" s="1">
        <v>1.0134000000000001</v>
      </c>
      <c r="N74" s="1">
        <v>0.81489999999999996</v>
      </c>
      <c r="O74" s="3"/>
      <c r="P74" s="3"/>
    </row>
    <row r="75" spans="1:16" x14ac:dyDescent="0.3">
      <c r="A75" t="s">
        <v>30</v>
      </c>
      <c r="B75">
        <v>2015</v>
      </c>
      <c r="C75">
        <v>16833</v>
      </c>
      <c r="D75">
        <v>4120</v>
      </c>
      <c r="E75">
        <f t="shared" si="5"/>
        <v>8.7400302599999993</v>
      </c>
      <c r="F75">
        <v>16828</v>
      </c>
      <c r="G75">
        <f t="shared" si="7"/>
        <v>33931.979200000002</v>
      </c>
      <c r="H75">
        <f t="shared" si="6"/>
        <v>17103.979199999998</v>
      </c>
      <c r="I75" s="4">
        <v>0.24475732192716687</v>
      </c>
      <c r="J75" s="4">
        <v>5.1921999999999996E-2</v>
      </c>
      <c r="K75" s="3">
        <v>5.2769000000000002E-3</v>
      </c>
      <c r="L75" s="3">
        <v>1.4043000000000002E-2</v>
      </c>
      <c r="M75" s="1">
        <v>1.0164</v>
      </c>
      <c r="N75" s="1">
        <v>0.91359999999999997</v>
      </c>
      <c r="O75" s="3"/>
      <c r="P75" s="3"/>
    </row>
    <row r="76" spans="1:16" x14ac:dyDescent="0.3">
      <c r="A76" t="s">
        <v>30</v>
      </c>
      <c r="B76">
        <v>2014</v>
      </c>
      <c r="C76">
        <v>17090</v>
      </c>
      <c r="D76">
        <v>4883</v>
      </c>
      <c r="E76">
        <f t="shared" si="5"/>
        <v>14.360043399999997</v>
      </c>
      <c r="F76">
        <v>16000</v>
      </c>
      <c r="G76">
        <f t="shared" si="7"/>
        <v>31683.199999999997</v>
      </c>
      <c r="H76">
        <f t="shared" si="6"/>
        <v>15683.199999999999</v>
      </c>
      <c r="I76" s="4">
        <v>0.28572264482153303</v>
      </c>
      <c r="J76" s="4">
        <v>8.402599999999999E-2</v>
      </c>
      <c r="K76" s="3">
        <v>9.0624999999999994E-3</v>
      </c>
      <c r="L76" s="3">
        <v>2.4115999999999999E-2</v>
      </c>
      <c r="M76" s="1">
        <v>0.98019999999999996</v>
      </c>
      <c r="N76" s="1">
        <v>1.0791999999999999</v>
      </c>
      <c r="O76" s="3"/>
      <c r="P76" s="3"/>
    </row>
    <row r="77" spans="1:16" x14ac:dyDescent="0.3">
      <c r="A77" t="s">
        <v>30</v>
      </c>
      <c r="B77">
        <v>2013</v>
      </c>
      <c r="C77">
        <v>15598</v>
      </c>
      <c r="D77">
        <v>3839</v>
      </c>
      <c r="E77">
        <f t="shared" si="5"/>
        <v>8.1399722800000003</v>
      </c>
      <c r="F77">
        <v>14594</v>
      </c>
      <c r="G77">
        <f t="shared" si="7"/>
        <v>29373.343799999999</v>
      </c>
      <c r="H77">
        <f t="shared" si="6"/>
        <v>14779.343799999999</v>
      </c>
      <c r="I77" s="4">
        <v>0.24612129760225671</v>
      </c>
      <c r="J77" s="4">
        <v>5.2186000000000003E-2</v>
      </c>
      <c r="K77" s="3">
        <v>5.6736000000000009E-3</v>
      </c>
      <c r="L77" s="3">
        <v>1.4891000000000001E-2</v>
      </c>
      <c r="M77" s="1">
        <v>1.0126999999999999</v>
      </c>
      <c r="N77" s="1">
        <v>0.79769999999999996</v>
      </c>
      <c r="O77" s="3"/>
      <c r="P77" s="3"/>
    </row>
    <row r="78" spans="1:16" x14ac:dyDescent="0.3">
      <c r="A78" t="s">
        <v>30</v>
      </c>
      <c r="B78">
        <v>2012</v>
      </c>
      <c r="C78">
        <v>15040</v>
      </c>
      <c r="D78">
        <v>3965</v>
      </c>
      <c r="E78">
        <f t="shared" si="5"/>
        <v>8.1599520000000005</v>
      </c>
      <c r="F78">
        <v>13326</v>
      </c>
      <c r="G78">
        <f t="shared" si="7"/>
        <v>26734.621200000001</v>
      </c>
      <c r="H78">
        <f t="shared" si="6"/>
        <v>13408.6212</v>
      </c>
      <c r="I78" s="4">
        <v>0.26363031914893614</v>
      </c>
      <c r="J78" s="4">
        <v>5.4255000000000005E-2</v>
      </c>
      <c r="K78" s="3">
        <v>6.2283999999999994E-3</v>
      </c>
      <c r="L78" s="3">
        <v>1.5824999999999999E-2</v>
      </c>
      <c r="M78" s="1">
        <v>1.0062</v>
      </c>
      <c r="N78" s="1">
        <v>0.81859999999999999</v>
      </c>
      <c r="O78" s="3"/>
      <c r="P78" s="3"/>
    </row>
    <row r="79" spans="1:16" x14ac:dyDescent="0.3">
      <c r="A79" t="s">
        <v>30</v>
      </c>
      <c r="B79">
        <v>2011</v>
      </c>
      <c r="C79">
        <v>14956</v>
      </c>
      <c r="D79">
        <v>4157</v>
      </c>
      <c r="E79">
        <f t="shared" si="5"/>
        <v>8.4399699200000011</v>
      </c>
      <c r="F79">
        <v>12353</v>
      </c>
      <c r="G79">
        <f t="shared" si="7"/>
        <v>26239.007300000001</v>
      </c>
      <c r="H79">
        <f t="shared" si="6"/>
        <v>13886.007300000001</v>
      </c>
      <c r="I79" s="4">
        <v>0.27794864937148972</v>
      </c>
      <c r="J79" s="4">
        <v>5.6432000000000003E-2</v>
      </c>
      <c r="K79" s="3">
        <v>6.9457E-3</v>
      </c>
      <c r="L79" s="3">
        <v>1.7245999999999997E-2</v>
      </c>
      <c r="M79" s="1">
        <v>1.1241000000000001</v>
      </c>
      <c r="N79" s="1">
        <v>0.83620000000000005</v>
      </c>
      <c r="O79" s="3"/>
      <c r="P79" s="3"/>
    </row>
    <row r="80" spans="1:16" x14ac:dyDescent="0.3">
      <c r="A80" t="s">
        <v>30</v>
      </c>
      <c r="B80">
        <v>2010</v>
      </c>
      <c r="C80">
        <v>13841</v>
      </c>
      <c r="D80">
        <v>4213</v>
      </c>
      <c r="E80">
        <f t="shared" si="5"/>
        <v>10.990030819999999</v>
      </c>
      <c r="F80">
        <v>11534</v>
      </c>
      <c r="G80">
        <f t="shared" si="7"/>
        <v>24928.4342</v>
      </c>
      <c r="H80">
        <f t="shared" si="6"/>
        <v>13394.4342</v>
      </c>
      <c r="I80" s="4">
        <v>0.30438552127736435</v>
      </c>
      <c r="J80" s="4">
        <v>7.9402E-2</v>
      </c>
      <c r="K80" s="3">
        <v>9.6496999999999989E-3</v>
      </c>
      <c r="L80" s="3">
        <v>2.4183E-2</v>
      </c>
      <c r="M80" s="1">
        <v>1.1613</v>
      </c>
      <c r="N80" s="1">
        <v>0.77129999999999999</v>
      </c>
      <c r="O80" s="3"/>
      <c r="P80" s="3"/>
    </row>
    <row r="81" spans="1:16" x14ac:dyDescent="0.3">
      <c r="A81" t="s">
        <v>30</v>
      </c>
      <c r="B81">
        <v>2009</v>
      </c>
      <c r="C81">
        <v>13399</v>
      </c>
      <c r="D81">
        <v>4051</v>
      </c>
      <c r="E81">
        <f t="shared" si="5"/>
        <v>12.200057479999998</v>
      </c>
      <c r="F81">
        <v>10585</v>
      </c>
      <c r="G81">
        <f t="shared" si="7"/>
        <v>23353.6855</v>
      </c>
      <c r="H81">
        <f t="shared" si="6"/>
        <v>12768.6855</v>
      </c>
      <c r="I81" s="4">
        <v>0.30233599522352417</v>
      </c>
      <c r="J81" s="4">
        <v>9.1051999999999994E-2</v>
      </c>
      <c r="K81" s="3">
        <v>1.1658E-2</v>
      </c>
      <c r="L81" s="3">
        <v>2.8734000000000003E-2</v>
      </c>
      <c r="M81" s="1">
        <v>1.2062999999999999</v>
      </c>
      <c r="N81" s="1">
        <v>0.83030000000000004</v>
      </c>
      <c r="O81" s="3"/>
      <c r="P81" s="3"/>
    </row>
    <row r="82" spans="1:16" x14ac:dyDescent="0.3">
      <c r="A82" t="s">
        <v>32</v>
      </c>
      <c r="B82">
        <v>2018</v>
      </c>
      <c r="C82">
        <v>16702</v>
      </c>
      <c r="D82">
        <v>-52</v>
      </c>
      <c r="E82">
        <f t="shared" si="5"/>
        <v>-3.8299356200000001</v>
      </c>
      <c r="F82">
        <v>-3723</v>
      </c>
      <c r="G82">
        <f t="shared" si="7"/>
        <v>409.15770000000066</v>
      </c>
      <c r="H82">
        <f t="shared" si="6"/>
        <v>4132.1577000000007</v>
      </c>
      <c r="I82" s="4">
        <v>-3.1133995928631303E-3</v>
      </c>
      <c r="J82" s="4">
        <v>-2.2931E-2</v>
      </c>
      <c r="K82" s="3">
        <v>1.02874E-2</v>
      </c>
      <c r="L82" s="3">
        <v>-5.2740000000000002E-2</v>
      </c>
      <c r="M82" s="1">
        <v>-1.1099000000000001</v>
      </c>
      <c r="N82" s="1">
        <v>0.77559999999999996</v>
      </c>
      <c r="O82" s="3"/>
      <c r="P82" s="3"/>
    </row>
    <row r="83" spans="1:16" x14ac:dyDescent="0.3">
      <c r="A83" t="s">
        <v>32</v>
      </c>
      <c r="B83">
        <v>2017</v>
      </c>
      <c r="C83">
        <v>22138</v>
      </c>
      <c r="D83">
        <v>-1610</v>
      </c>
      <c r="E83">
        <f t="shared" si="5"/>
        <v>-22.209948499999999</v>
      </c>
      <c r="F83">
        <v>-3824</v>
      </c>
      <c r="G83">
        <f t="shared" si="7"/>
        <v>339.1887999999999</v>
      </c>
      <c r="H83">
        <f t="shared" si="6"/>
        <v>4163.1887999999999</v>
      </c>
      <c r="I83" s="4">
        <v>-7.2725630138223862E-2</v>
      </c>
      <c r="J83" s="4">
        <v>-0.10032500000000001</v>
      </c>
      <c r="K83" s="3">
        <v>5.80805E-2</v>
      </c>
      <c r="L83" s="3">
        <v>-0.237236</v>
      </c>
      <c r="M83" s="1">
        <v>-1.0887</v>
      </c>
      <c r="N83" s="1">
        <v>1.0672999999999999</v>
      </c>
      <c r="O83" s="3"/>
      <c r="P83" s="3"/>
    </row>
    <row r="84" spans="1:16" x14ac:dyDescent="0.3">
      <c r="A84" t="s">
        <v>32</v>
      </c>
      <c r="B84">
        <v>2016</v>
      </c>
      <c r="C84">
        <v>25146</v>
      </c>
      <c r="D84">
        <v>-570</v>
      </c>
      <c r="E84">
        <f t="shared" si="5"/>
        <v>-11.290051080000001</v>
      </c>
      <c r="F84">
        <v>-1956</v>
      </c>
      <c r="G84">
        <f t="shared" si="7"/>
        <v>1020.0540000000001</v>
      </c>
      <c r="H84">
        <f t="shared" si="6"/>
        <v>2976.0540000000001</v>
      </c>
      <c r="I84" s="4">
        <v>-2.2667621092817943E-2</v>
      </c>
      <c r="J84" s="4">
        <v>-4.4898E-2</v>
      </c>
      <c r="K84" s="3">
        <v>5.7668699999999996E-2</v>
      </c>
      <c r="L84" s="3">
        <v>-9.9497000000000002E-2</v>
      </c>
      <c r="M84" s="1">
        <v>-1.5215000000000001</v>
      </c>
      <c r="N84" s="1">
        <v>1.1115999999999999</v>
      </c>
      <c r="O84" s="3"/>
      <c r="P84" s="3"/>
    </row>
    <row r="85" spans="1:16" x14ac:dyDescent="0.3">
      <c r="A85" t="s">
        <v>32</v>
      </c>
      <c r="B85">
        <v>2015</v>
      </c>
      <c r="C85">
        <v>31198</v>
      </c>
      <c r="D85">
        <v>-889</v>
      </c>
      <c r="E85">
        <f t="shared" si="5"/>
        <v>-16.820089719999999</v>
      </c>
      <c r="F85">
        <v>-945</v>
      </c>
      <c r="G85">
        <f t="shared" si="7"/>
        <v>2831.0309999999999</v>
      </c>
      <c r="H85">
        <f t="shared" si="6"/>
        <v>3776.0309999999999</v>
      </c>
      <c r="I85" s="4">
        <v>-2.8495416372844414E-2</v>
      </c>
      <c r="J85" s="4">
        <v>-5.3913999999999997E-2</v>
      </c>
      <c r="K85" s="3">
        <v>0.19153439999999999</v>
      </c>
      <c r="L85" s="3">
        <v>-0.13727700000000001</v>
      </c>
      <c r="M85" s="1">
        <v>-3.9958</v>
      </c>
      <c r="N85" s="1">
        <v>1.0479000000000001</v>
      </c>
      <c r="O85" s="3"/>
      <c r="P85" s="3"/>
    </row>
    <row r="86" spans="1:16" x14ac:dyDescent="0.3">
      <c r="A86" t="s">
        <v>32</v>
      </c>
      <c r="B86">
        <v>2014</v>
      </c>
      <c r="C86">
        <v>36188</v>
      </c>
      <c r="D86">
        <v>-195</v>
      </c>
      <c r="E86">
        <f t="shared" si="5"/>
        <v>-13.650113599999999</v>
      </c>
      <c r="F86">
        <v>2183</v>
      </c>
      <c r="G86">
        <f t="shared" si="7"/>
        <v>6431.9911999999995</v>
      </c>
      <c r="H86">
        <f t="shared" si="6"/>
        <v>4248.9911999999995</v>
      </c>
      <c r="I86" s="4">
        <v>-5.3885265833978112E-3</v>
      </c>
      <c r="J86" s="4">
        <v>-3.7719999999999997E-2</v>
      </c>
      <c r="K86" s="3">
        <v>-5.1122300000000002E-2</v>
      </c>
      <c r="L86" s="3">
        <v>-6.1113999999999995E-2</v>
      </c>
      <c r="M86" s="1">
        <v>1.9463999999999999</v>
      </c>
      <c r="N86" s="1">
        <v>1.0946</v>
      </c>
      <c r="O86" s="3"/>
      <c r="P86" s="3"/>
    </row>
    <row r="87" spans="1:16" x14ac:dyDescent="0.3">
      <c r="A87" t="s">
        <v>32</v>
      </c>
      <c r="B87">
        <v>2013</v>
      </c>
      <c r="C87">
        <v>39854</v>
      </c>
      <c r="D87">
        <v>-8</v>
      </c>
      <c r="E87">
        <f t="shared" si="5"/>
        <v>-9.2999308999999997</v>
      </c>
      <c r="F87">
        <v>3172</v>
      </c>
      <c r="G87">
        <f t="shared" si="7"/>
        <v>6291.9791999999998</v>
      </c>
      <c r="H87">
        <f t="shared" si="6"/>
        <v>3119.9792000000002</v>
      </c>
      <c r="I87" s="4">
        <v>-2.0073267426105285E-4</v>
      </c>
      <c r="J87" s="4">
        <v>-2.3334999999999998E-2</v>
      </c>
      <c r="K87" s="3">
        <v>-3.3228299999999995E-2</v>
      </c>
      <c r="L87" s="3">
        <v>-5.4497999999999998E-2</v>
      </c>
      <c r="M87" s="1">
        <v>0.98360000000000003</v>
      </c>
      <c r="N87" s="1">
        <v>1.1011</v>
      </c>
      <c r="O87" s="3"/>
      <c r="P87" s="3"/>
    </row>
    <row r="88" spans="1:16" x14ac:dyDescent="0.3">
      <c r="A88" t="s">
        <v>32</v>
      </c>
      <c r="B88">
        <v>2012</v>
      </c>
      <c r="C88">
        <v>41567</v>
      </c>
      <c r="D88">
        <v>-648</v>
      </c>
      <c r="E88">
        <f t="shared" si="5"/>
        <v>-31.400127469999997</v>
      </c>
      <c r="F88">
        <v>4341</v>
      </c>
      <c r="G88">
        <f t="shared" si="7"/>
        <v>7834.2026999999998</v>
      </c>
      <c r="H88">
        <f t="shared" si="6"/>
        <v>3493.2026999999998</v>
      </c>
      <c r="I88" s="4">
        <v>-1.558928958067698E-2</v>
      </c>
      <c r="J88" s="4">
        <v>-7.5540999999999997E-2</v>
      </c>
      <c r="K88" s="3">
        <v>-7.1872800000000001E-2</v>
      </c>
      <c r="L88" s="3">
        <v>-0.145924</v>
      </c>
      <c r="M88" s="1">
        <v>0.80469999999999997</v>
      </c>
      <c r="N88" s="1">
        <v>1.1120000000000001</v>
      </c>
      <c r="O88" s="3"/>
      <c r="P88" s="3"/>
    </row>
    <row r="89" spans="1:16" x14ac:dyDescent="0.3">
      <c r="A89" t="s">
        <v>32</v>
      </c>
      <c r="B89">
        <v>2011</v>
      </c>
      <c r="C89">
        <v>42664</v>
      </c>
      <c r="D89">
        <v>1306</v>
      </c>
      <c r="E89">
        <f t="shared" si="5"/>
        <v>1.32983688</v>
      </c>
      <c r="F89">
        <v>8614</v>
      </c>
      <c r="G89">
        <f t="shared" si="7"/>
        <v>11807.209800000001</v>
      </c>
      <c r="H89">
        <f t="shared" si="6"/>
        <v>3193.2097999999996</v>
      </c>
      <c r="I89" s="4">
        <v>3.0611288205512843E-2</v>
      </c>
      <c r="J89" s="4">
        <v>3.117E-3</v>
      </c>
      <c r="K89" s="3">
        <v>1.6136999999999998E-3</v>
      </c>
      <c r="L89" s="3">
        <v>5.7060000000000001E-3</v>
      </c>
      <c r="M89" s="1">
        <v>0.37069999999999997</v>
      </c>
      <c r="N89" s="1">
        <v>1.3374999999999999</v>
      </c>
      <c r="O89" s="3"/>
      <c r="P89" s="3"/>
    </row>
    <row r="90" spans="1:16" x14ac:dyDescent="0.3">
      <c r="A90" t="s">
        <v>32</v>
      </c>
      <c r="B90">
        <v>2010</v>
      </c>
      <c r="C90">
        <v>43360</v>
      </c>
      <c r="D90">
        <v>1561</v>
      </c>
      <c r="E90">
        <f t="shared" si="5"/>
        <v>2.3501120000000002</v>
      </c>
      <c r="F90">
        <v>9435</v>
      </c>
      <c r="G90">
        <f t="shared" si="7"/>
        <v>11939.9925</v>
      </c>
      <c r="H90">
        <f t="shared" si="6"/>
        <v>2504.9925000000003</v>
      </c>
      <c r="I90" s="4">
        <v>3.600092250922509E-2</v>
      </c>
      <c r="J90" s="4">
        <v>5.4200000000000003E-3</v>
      </c>
      <c r="K90" s="3">
        <v>2.9676999999999998E-3</v>
      </c>
      <c r="L90" s="3">
        <v>1.1287E-2</v>
      </c>
      <c r="M90" s="1">
        <v>0.26550000000000001</v>
      </c>
      <c r="N90" s="1">
        <v>1.3018000000000001</v>
      </c>
      <c r="O90" s="3"/>
      <c r="P90" s="3"/>
    </row>
    <row r="91" spans="1:16" x14ac:dyDescent="0.3">
      <c r="A91" t="s">
        <v>32</v>
      </c>
      <c r="B91">
        <v>2009</v>
      </c>
      <c r="C91">
        <v>46770</v>
      </c>
      <c r="D91">
        <v>1283</v>
      </c>
      <c r="E91">
        <f t="shared" si="5"/>
        <v>0.52990409999999999</v>
      </c>
      <c r="F91">
        <v>9699</v>
      </c>
      <c r="G91">
        <f t="shared" si="7"/>
        <v>12618.398999999999</v>
      </c>
      <c r="H91">
        <f t="shared" si="6"/>
        <v>2919.3989999999999</v>
      </c>
      <c r="I91" s="4">
        <v>2.7432114603378233E-2</v>
      </c>
      <c r="J91" s="4">
        <v>1.1329999999999999E-3</v>
      </c>
      <c r="K91" s="3">
        <v>1.0207E-3</v>
      </c>
      <c r="L91" s="3">
        <v>3.9069999999999999E-3</v>
      </c>
      <c r="M91" s="1">
        <v>0.30099999999999999</v>
      </c>
      <c r="N91" s="1">
        <v>1.3411999999999999</v>
      </c>
      <c r="O91" s="3"/>
      <c r="P91" s="3"/>
    </row>
    <row r="92" spans="1:16" x14ac:dyDescent="0.3">
      <c r="A92" t="s">
        <v>34</v>
      </c>
      <c r="B92">
        <v>2022</v>
      </c>
      <c r="C92">
        <v>23182.6</v>
      </c>
      <c r="D92">
        <v>11241.6</v>
      </c>
      <c r="E92">
        <f t="shared" si="5"/>
        <v>61.773978741999997</v>
      </c>
      <c r="F92">
        <v>-6003.4</v>
      </c>
      <c r="G92">
        <f t="shared" si="7"/>
        <v>29899.933699999994</v>
      </c>
      <c r="H92">
        <f t="shared" si="6"/>
        <v>35903.333699999996</v>
      </c>
      <c r="I92" s="4">
        <v>0.48491541069595306</v>
      </c>
      <c r="J92" s="4">
        <v>0.26646700000000001</v>
      </c>
      <c r="K92" s="3">
        <v>-0.1028983</v>
      </c>
      <c r="L92" s="3">
        <v>0.12248100000000001</v>
      </c>
      <c r="M92" s="1">
        <v>-5.9805000000000001</v>
      </c>
      <c r="N92" s="1">
        <v>1.4266000000000001</v>
      </c>
      <c r="O92" s="3"/>
      <c r="P92" s="3"/>
    </row>
    <row r="93" spans="1:16" x14ac:dyDescent="0.3">
      <c r="A93" t="s">
        <v>34</v>
      </c>
      <c r="B93">
        <v>2021</v>
      </c>
      <c r="C93">
        <v>23222.9</v>
      </c>
      <c r="D93">
        <v>12224.1</v>
      </c>
      <c r="E93">
        <f t="shared" si="5"/>
        <v>75.451898787000005</v>
      </c>
      <c r="F93">
        <v>-4601</v>
      </c>
      <c r="G93">
        <f t="shared" si="7"/>
        <v>31021.782399999996</v>
      </c>
      <c r="H93">
        <f t="shared" si="6"/>
        <v>35622.782399999996</v>
      </c>
      <c r="I93" s="4">
        <v>0.52638128743610835</v>
      </c>
      <c r="J93" s="4">
        <v>0.324903</v>
      </c>
      <c r="K93" s="3">
        <v>-0.16399030000000001</v>
      </c>
      <c r="L93" s="3">
        <v>0.14010400000000001</v>
      </c>
      <c r="M93" s="1">
        <v>-7.7423999999999999</v>
      </c>
      <c r="N93" s="1">
        <v>1.7782</v>
      </c>
      <c r="O93" s="3"/>
      <c r="P93" s="3"/>
    </row>
    <row r="94" spans="1:16" x14ac:dyDescent="0.3">
      <c r="A94" t="s">
        <v>34</v>
      </c>
      <c r="B94">
        <v>2020</v>
      </c>
      <c r="C94">
        <v>19207.8</v>
      </c>
      <c r="D94">
        <v>9075.4</v>
      </c>
      <c r="E94">
        <f t="shared" si="5"/>
        <v>47.304969839999991</v>
      </c>
      <c r="F94">
        <v>-7824.9</v>
      </c>
      <c r="G94">
        <f t="shared" si="7"/>
        <v>29615.681519999991</v>
      </c>
      <c r="H94">
        <f t="shared" si="6"/>
        <v>37440.581519999992</v>
      </c>
      <c r="I94" s="4">
        <v>0.47248513624673305</v>
      </c>
      <c r="J94" s="4">
        <v>0.24628</v>
      </c>
      <c r="K94" s="3">
        <v>-6.0454500000000008E-2</v>
      </c>
      <c r="L94" s="3">
        <v>8.9887999999999996E-2</v>
      </c>
      <c r="M94" s="1">
        <v>-4.7847999999999997</v>
      </c>
      <c r="N94" s="1">
        <v>1.01</v>
      </c>
      <c r="O94" s="3"/>
      <c r="P94" s="3"/>
    </row>
    <row r="95" spans="1:16" x14ac:dyDescent="0.3">
      <c r="A95" t="s">
        <v>34</v>
      </c>
      <c r="B95">
        <v>2019</v>
      </c>
      <c r="C95">
        <v>21364.400000000001</v>
      </c>
      <c r="D95">
        <v>10687.7</v>
      </c>
      <c r="E95">
        <f t="shared" si="5"/>
        <v>60.254017320000003</v>
      </c>
      <c r="F95">
        <v>-8210.2999999999993</v>
      </c>
      <c r="G95">
        <f t="shared" si="7"/>
        <v>25966.715809999998</v>
      </c>
      <c r="H95">
        <f t="shared" si="6"/>
        <v>34177.015809999997</v>
      </c>
      <c r="I95" s="4">
        <v>0.50025743760648556</v>
      </c>
      <c r="J95" s="4">
        <v>0.28203</v>
      </c>
      <c r="K95" s="3">
        <v>-7.3388300000000004E-2</v>
      </c>
      <c r="L95" s="3">
        <v>0.12682199999999999</v>
      </c>
      <c r="M95" s="1">
        <v>-4.1627000000000001</v>
      </c>
      <c r="N95" s="1">
        <v>0.98260000000000003</v>
      </c>
      <c r="O95" s="3"/>
      <c r="P95" s="3"/>
    </row>
    <row r="96" spans="1:16" x14ac:dyDescent="0.3">
      <c r="A96" t="s">
        <v>34</v>
      </c>
      <c r="B96">
        <v>2018</v>
      </c>
      <c r="C96">
        <v>21257.9</v>
      </c>
      <c r="D96">
        <v>10304.6</v>
      </c>
      <c r="E96">
        <f t="shared" si="5"/>
        <v>59.243003773000012</v>
      </c>
      <c r="F96">
        <v>-6258.4</v>
      </c>
      <c r="G96">
        <f t="shared" si="7"/>
        <v>24817.059359999999</v>
      </c>
      <c r="H96">
        <f t="shared" si="6"/>
        <v>31075.459359999997</v>
      </c>
      <c r="I96" s="4">
        <v>0.48474214292098466</v>
      </c>
      <c r="J96" s="4">
        <v>0.27868700000000002</v>
      </c>
      <c r="K96" s="3">
        <v>-9.4661599999999999E-2</v>
      </c>
      <c r="L96" s="3">
        <v>0.18055700000000002</v>
      </c>
      <c r="M96" s="1">
        <v>-4.9653999999999998</v>
      </c>
      <c r="N96" s="1">
        <v>1.3631</v>
      </c>
      <c r="O96" s="3"/>
      <c r="P96" s="3"/>
    </row>
    <row r="97" spans="1:16" x14ac:dyDescent="0.3">
      <c r="A97" t="s">
        <v>34</v>
      </c>
      <c r="B97">
        <v>2017</v>
      </c>
      <c r="C97">
        <v>22820.400000000001</v>
      </c>
      <c r="D97">
        <v>10916.1</v>
      </c>
      <c r="E97">
        <f t="shared" si="5"/>
        <v>51.923027916000002</v>
      </c>
      <c r="F97">
        <v>-3268</v>
      </c>
      <c r="G97">
        <f t="shared" si="7"/>
        <v>26268.5108</v>
      </c>
      <c r="H97">
        <f t="shared" si="6"/>
        <v>29536.5108</v>
      </c>
      <c r="I97" s="4">
        <v>0.47834831992427829</v>
      </c>
      <c r="J97" s="4">
        <v>0.22752900000000001</v>
      </c>
      <c r="K97" s="3">
        <v>-0.15888319999999997</v>
      </c>
      <c r="L97" s="3">
        <v>0.15360200000000002</v>
      </c>
      <c r="M97" s="1">
        <v>-9.0381</v>
      </c>
      <c r="N97" s="1">
        <v>1.8429</v>
      </c>
      <c r="O97" s="3"/>
      <c r="P97" s="3"/>
    </row>
    <row r="98" spans="1:16" x14ac:dyDescent="0.3">
      <c r="A98" t="s">
        <v>34</v>
      </c>
      <c r="B98">
        <v>2016</v>
      </c>
      <c r="C98">
        <v>24621.9</v>
      </c>
      <c r="D98">
        <v>9261.0020000000004</v>
      </c>
      <c r="E98">
        <f t="shared" ref="E98:E129" si="8">(C98*J98/100)</f>
        <v>46.865078240999999</v>
      </c>
      <c r="F98">
        <v>-2204.3000000000002</v>
      </c>
      <c r="G98">
        <f t="shared" si="7"/>
        <v>23751.332500000004</v>
      </c>
      <c r="H98">
        <f t="shared" ref="H98:H129" si="9">(F98*M98)</f>
        <v>25955.632500000003</v>
      </c>
      <c r="I98" s="4">
        <v>0.37612864969803306</v>
      </c>
      <c r="J98" s="4">
        <v>0.19033899999999998</v>
      </c>
      <c r="K98" s="3">
        <v>-0.21260690000000002</v>
      </c>
      <c r="L98" s="3">
        <v>0.151061</v>
      </c>
      <c r="M98" s="1">
        <v>-11.775</v>
      </c>
      <c r="N98" s="1">
        <v>1.3979999999999999</v>
      </c>
      <c r="O98" s="3"/>
      <c r="P98" s="3"/>
    </row>
    <row r="99" spans="1:16" x14ac:dyDescent="0.3">
      <c r="A99" t="s">
        <v>34</v>
      </c>
      <c r="B99">
        <v>2015</v>
      </c>
      <c r="C99">
        <v>25413</v>
      </c>
      <c r="D99">
        <v>8701.2000000000007</v>
      </c>
      <c r="E99">
        <f t="shared" si="8"/>
        <v>45.293081639999997</v>
      </c>
      <c r="F99">
        <v>7087.9</v>
      </c>
      <c r="G99">
        <f t="shared" si="7"/>
        <v>31210.150070000003</v>
      </c>
      <c r="H99">
        <f t="shared" si="9"/>
        <v>24122.250070000002</v>
      </c>
      <c r="I99" s="4">
        <v>0.34239168929288161</v>
      </c>
      <c r="J99" s="4">
        <v>0.178228</v>
      </c>
      <c r="K99" s="3">
        <v>6.3901899999999998E-2</v>
      </c>
      <c r="L99" s="3">
        <v>0.11938499999999999</v>
      </c>
      <c r="M99" s="1">
        <v>3.4033000000000002</v>
      </c>
      <c r="N99" s="1">
        <v>3.2684000000000002</v>
      </c>
      <c r="O99" s="3"/>
      <c r="P99" s="3"/>
    </row>
    <row r="100" spans="1:16" x14ac:dyDescent="0.3">
      <c r="A100" t="s">
        <v>34</v>
      </c>
      <c r="B100">
        <v>2014</v>
      </c>
      <c r="C100">
        <v>27441.3</v>
      </c>
      <c r="D100">
        <v>9593.7009999999991</v>
      </c>
      <c r="E100">
        <f t="shared" si="8"/>
        <v>47.578000353</v>
      </c>
      <c r="F100">
        <v>12853.4</v>
      </c>
      <c r="G100">
        <f t="shared" si="7"/>
        <v>27789.050799999997</v>
      </c>
      <c r="H100">
        <f t="shared" si="9"/>
        <v>14935.650799999999</v>
      </c>
      <c r="I100" s="4">
        <v>0.34960810894527589</v>
      </c>
      <c r="J100" s="4">
        <v>0.17338100000000001</v>
      </c>
      <c r="K100" s="3">
        <v>3.7015900000000004E-2</v>
      </c>
      <c r="L100" s="3">
        <v>0.13900600000000002</v>
      </c>
      <c r="M100" s="1">
        <v>1.1619999999999999</v>
      </c>
      <c r="N100" s="1">
        <v>1.5232000000000001</v>
      </c>
      <c r="O100" s="3"/>
      <c r="P100" s="3"/>
    </row>
    <row r="101" spans="1:16" x14ac:dyDescent="0.3">
      <c r="A101" t="s">
        <v>34</v>
      </c>
      <c r="B101">
        <v>2013</v>
      </c>
      <c r="C101">
        <v>28105.7</v>
      </c>
      <c r="D101">
        <v>10349.4</v>
      </c>
      <c r="E101">
        <f t="shared" si="8"/>
        <v>55.858954522000005</v>
      </c>
      <c r="F101">
        <v>16009.7</v>
      </c>
      <c r="G101">
        <f t="shared" si="7"/>
        <v>30139.861220000003</v>
      </c>
      <c r="H101">
        <f t="shared" si="9"/>
        <v>14130.161220000002</v>
      </c>
      <c r="I101" s="4">
        <v>0.36823135520552769</v>
      </c>
      <c r="J101" s="4">
        <v>0.19874600000000001</v>
      </c>
      <c r="K101" s="3">
        <v>3.4890700000000004E-2</v>
      </c>
      <c r="L101" s="3">
        <v>0.15251099999999998</v>
      </c>
      <c r="M101" s="1">
        <v>0.88260000000000005</v>
      </c>
      <c r="N101" s="1">
        <v>1.5931</v>
      </c>
      <c r="O101" s="3"/>
      <c r="P101" s="3"/>
    </row>
    <row r="102" spans="1:16" x14ac:dyDescent="0.3">
      <c r="A102" t="s">
        <v>34</v>
      </c>
      <c r="B102">
        <v>2012</v>
      </c>
      <c r="C102">
        <v>27567</v>
      </c>
      <c r="D102">
        <v>10093.1</v>
      </c>
      <c r="E102">
        <f t="shared" si="8"/>
        <v>54.647993790000001</v>
      </c>
      <c r="F102">
        <v>15293.6</v>
      </c>
      <c r="G102">
        <f t="shared" si="7"/>
        <v>28926.315040000001</v>
      </c>
      <c r="H102">
        <f t="shared" si="9"/>
        <v>13632.715039999999</v>
      </c>
      <c r="I102" s="4">
        <v>0.36612979286828456</v>
      </c>
      <c r="J102" s="4">
        <v>0.198237</v>
      </c>
      <c r="K102" s="3">
        <v>3.5732599999999996E-2</v>
      </c>
      <c r="L102" s="3">
        <v>0.15443199999999999</v>
      </c>
      <c r="M102" s="1">
        <v>0.89139999999999997</v>
      </c>
      <c r="N102" s="1">
        <v>1.4463999999999999</v>
      </c>
      <c r="O102" s="3"/>
      <c r="P102" s="3"/>
    </row>
    <row r="103" spans="1:16" x14ac:dyDescent="0.3">
      <c r="A103" t="s">
        <v>34</v>
      </c>
      <c r="B103">
        <v>2011</v>
      </c>
      <c r="C103">
        <v>27006</v>
      </c>
      <c r="D103">
        <v>9944.7009999999991</v>
      </c>
      <c r="E103">
        <f t="shared" si="8"/>
        <v>55.03093638</v>
      </c>
      <c r="F103">
        <v>14390.2</v>
      </c>
      <c r="G103">
        <f t="shared" si="7"/>
        <v>26890.966740000003</v>
      </c>
      <c r="H103">
        <f t="shared" si="9"/>
        <v>12500.766740000001</v>
      </c>
      <c r="I103" s="4">
        <v>0.3682404280530252</v>
      </c>
      <c r="J103" s="4">
        <v>0.20377300000000001</v>
      </c>
      <c r="K103" s="3">
        <v>3.8241999999999998E-2</v>
      </c>
      <c r="L103" s="3">
        <v>0.16681200000000002</v>
      </c>
      <c r="M103" s="1">
        <v>0.86870000000000003</v>
      </c>
      <c r="N103" s="1">
        <v>1.2546999999999999</v>
      </c>
      <c r="O103" s="3"/>
      <c r="P103" s="3"/>
    </row>
    <row r="104" spans="1:16" x14ac:dyDescent="0.3">
      <c r="A104" t="s">
        <v>34</v>
      </c>
      <c r="B104">
        <v>2010</v>
      </c>
      <c r="C104">
        <v>24074.6</v>
      </c>
      <c r="D104">
        <v>8749.2999999999993</v>
      </c>
      <c r="E104">
        <f t="shared" si="8"/>
        <v>49.462950921999997</v>
      </c>
      <c r="F104">
        <v>14634.2</v>
      </c>
      <c r="G104">
        <f t="shared" si="7"/>
        <v>26139.608039999999</v>
      </c>
      <c r="H104">
        <f t="shared" si="9"/>
        <v>11505.40804</v>
      </c>
      <c r="I104" s="4">
        <v>0.36342452211044007</v>
      </c>
      <c r="J104" s="4">
        <v>0.205457</v>
      </c>
      <c r="K104" s="3">
        <v>3.3799599999999999E-2</v>
      </c>
      <c r="L104" s="3">
        <v>0.154692</v>
      </c>
      <c r="M104" s="1">
        <v>0.78620000000000001</v>
      </c>
      <c r="N104" s="1">
        <v>1.4937</v>
      </c>
      <c r="O104" s="3"/>
      <c r="P104" s="3"/>
    </row>
    <row r="105" spans="1:16" x14ac:dyDescent="0.3">
      <c r="A105" t="s">
        <v>34</v>
      </c>
      <c r="B105">
        <v>2009</v>
      </c>
      <c r="C105">
        <v>22744.7</v>
      </c>
      <c r="D105">
        <v>8057.2</v>
      </c>
      <c r="E105">
        <f t="shared" si="8"/>
        <v>45.510097677000005</v>
      </c>
      <c r="F105">
        <v>14033.9</v>
      </c>
      <c r="G105">
        <f t="shared" si="7"/>
        <v>24612.65382</v>
      </c>
      <c r="H105">
        <f t="shared" si="9"/>
        <v>10578.75382</v>
      </c>
      <c r="I105" s="4">
        <v>0.35424516480762547</v>
      </c>
      <c r="J105" s="4">
        <v>0.20009099999999999</v>
      </c>
      <c r="K105" s="3">
        <v>3.2428600000000002E-2</v>
      </c>
      <c r="L105" s="3">
        <v>0.15057100000000001</v>
      </c>
      <c r="M105" s="1">
        <v>0.75380000000000003</v>
      </c>
      <c r="N105" s="1">
        <v>1.1431</v>
      </c>
      <c r="O105" s="3"/>
      <c r="P105" s="3"/>
    </row>
    <row r="106" spans="1:16" x14ac:dyDescent="0.3">
      <c r="A106" t="s">
        <v>36</v>
      </c>
      <c r="B106">
        <v>2022</v>
      </c>
      <c r="C106">
        <v>30868.080000000002</v>
      </c>
      <c r="D106">
        <v>1</v>
      </c>
      <c r="E106">
        <f t="shared" si="8"/>
        <v>65.323030896000006</v>
      </c>
      <c r="F106">
        <v>85667.7</v>
      </c>
      <c r="G106">
        <f t="shared" si="7"/>
        <v>699065.56553999986</v>
      </c>
      <c r="H106">
        <f t="shared" si="9"/>
        <v>613397.86553999991</v>
      </c>
      <c r="I106" s="4">
        <v>3.239592485182104E-5</v>
      </c>
      <c r="J106" s="4">
        <v>0.21162</v>
      </c>
      <c r="K106" s="3">
        <v>8.6239999999999997E-3</v>
      </c>
      <c r="L106" s="3">
        <v>3.9459999999999999E-3</v>
      </c>
      <c r="M106" s="1">
        <v>7.1601999999999997</v>
      </c>
      <c r="N106" s="1">
        <v>1</v>
      </c>
      <c r="O106" s="3"/>
      <c r="P106" s="3"/>
    </row>
    <row r="107" spans="1:16" x14ac:dyDescent="0.3">
      <c r="A107" t="s">
        <v>36</v>
      </c>
      <c r="B107">
        <v>2021</v>
      </c>
      <c r="C107">
        <v>30169.69</v>
      </c>
      <c r="D107">
        <v>1</v>
      </c>
      <c r="E107">
        <f t="shared" si="8"/>
        <v>85.128909182299992</v>
      </c>
      <c r="F107">
        <v>96547.15</v>
      </c>
      <c r="G107">
        <f t="shared" si="7"/>
        <v>708617.46213999996</v>
      </c>
      <c r="H107">
        <f t="shared" si="9"/>
        <v>612070.31213999994</v>
      </c>
      <c r="I107" s="4">
        <v>3.314584936073258E-5</v>
      </c>
      <c r="J107" s="4">
        <v>0.282167</v>
      </c>
      <c r="K107" s="3">
        <v>1.02918E-2</v>
      </c>
      <c r="L107" s="3">
        <v>5.2199999999999998E-3</v>
      </c>
      <c r="M107" s="1">
        <v>6.3395999999999999</v>
      </c>
      <c r="N107" s="1">
        <v>1</v>
      </c>
      <c r="O107" s="3"/>
      <c r="P107" s="3"/>
    </row>
    <row r="108" spans="1:16" x14ac:dyDescent="0.3">
      <c r="A108" t="s">
        <v>36</v>
      </c>
      <c r="B108">
        <v>2020</v>
      </c>
      <c r="C108">
        <v>27947.54</v>
      </c>
      <c r="D108">
        <v>1</v>
      </c>
      <c r="E108">
        <f t="shared" si="8"/>
        <v>25.193868883799997</v>
      </c>
      <c r="F108">
        <v>85876.479999999996</v>
      </c>
      <c r="G108">
        <f t="shared" si="7"/>
        <v>603943.52089599997</v>
      </c>
      <c r="H108">
        <f t="shared" si="9"/>
        <v>518067.04089599999</v>
      </c>
      <c r="I108" s="4">
        <v>3.5781324581698421E-5</v>
      </c>
      <c r="J108" s="4">
        <v>9.0146999999999991E-2</v>
      </c>
      <c r="K108" s="3">
        <v>3.6795999999999999E-3</v>
      </c>
      <c r="L108" s="3">
        <v>1.8240000000000001E-3</v>
      </c>
      <c r="M108" s="1">
        <v>6.0327000000000002</v>
      </c>
      <c r="N108" s="1">
        <v>1</v>
      </c>
      <c r="O108" s="3"/>
      <c r="P108" s="3"/>
    </row>
    <row r="109" spans="1:16" x14ac:dyDescent="0.3">
      <c r="A109" t="s">
        <v>36</v>
      </c>
      <c r="B109">
        <v>2019</v>
      </c>
      <c r="C109">
        <v>27621.9</v>
      </c>
      <c r="D109">
        <v>1</v>
      </c>
      <c r="E109">
        <f t="shared" si="8"/>
        <v>45.858983256000002</v>
      </c>
      <c r="F109">
        <v>83841.259999999995</v>
      </c>
      <c r="G109">
        <f t="shared" si="7"/>
        <v>531117.61384799995</v>
      </c>
      <c r="H109">
        <f t="shared" si="9"/>
        <v>447276.353848</v>
      </c>
      <c r="I109" s="4">
        <v>3.620315763940931E-5</v>
      </c>
      <c r="J109" s="4">
        <v>0.166024</v>
      </c>
      <c r="K109" s="3">
        <v>5.1081E-3</v>
      </c>
      <c r="L109" s="3">
        <v>2.9420000000000002E-3</v>
      </c>
      <c r="M109" s="1">
        <v>5.3348000000000004</v>
      </c>
      <c r="N109" s="1">
        <v>1</v>
      </c>
      <c r="O109" s="3"/>
      <c r="P109" s="3"/>
    </row>
    <row r="110" spans="1:16" x14ac:dyDescent="0.3">
      <c r="A110" t="s">
        <v>36</v>
      </c>
      <c r="B110">
        <v>2018</v>
      </c>
      <c r="C110">
        <v>28212.33</v>
      </c>
      <c r="D110">
        <v>1</v>
      </c>
      <c r="E110">
        <f t="shared" si="8"/>
        <v>19.996053134099999</v>
      </c>
      <c r="F110">
        <v>85132.21</v>
      </c>
      <c r="G110">
        <f t="shared" si="7"/>
        <v>587199.41847500007</v>
      </c>
      <c r="H110">
        <f t="shared" si="9"/>
        <v>502067.20847500005</v>
      </c>
      <c r="I110" s="4">
        <v>3.5445494930762542E-5</v>
      </c>
      <c r="J110" s="4">
        <v>7.0876999999999996E-2</v>
      </c>
      <c r="K110" s="3">
        <v>3.7191000000000004E-3</v>
      </c>
      <c r="L110" s="3">
        <v>2.0930000000000002E-3</v>
      </c>
      <c r="M110" s="1">
        <v>5.8975</v>
      </c>
      <c r="N110" s="1">
        <v>1</v>
      </c>
      <c r="O110" s="3"/>
      <c r="P110" s="3"/>
    </row>
    <row r="111" spans="1:16" x14ac:dyDescent="0.3">
      <c r="A111" t="s">
        <v>36</v>
      </c>
      <c r="B111">
        <v>2017</v>
      </c>
      <c r="C111">
        <v>27162.75</v>
      </c>
      <c r="D111">
        <v>1</v>
      </c>
      <c r="E111">
        <f t="shared" si="8"/>
        <v>-27.858388027499998</v>
      </c>
      <c r="F111">
        <v>85081.42</v>
      </c>
      <c r="G111">
        <f t="shared" si="7"/>
        <v>534285.79317399999</v>
      </c>
      <c r="H111">
        <f t="shared" si="9"/>
        <v>449204.37317400001</v>
      </c>
      <c r="I111" s="4">
        <v>3.6815123652796572E-5</v>
      </c>
      <c r="J111" s="4">
        <v>-0.102561</v>
      </c>
      <c r="K111" s="3">
        <v>1.9707000000000001E-3</v>
      </c>
      <c r="L111" s="3">
        <v>1.1479999999999999E-3</v>
      </c>
      <c r="M111" s="1">
        <v>5.2797000000000001</v>
      </c>
      <c r="N111" s="1">
        <v>1</v>
      </c>
      <c r="O111" s="3"/>
      <c r="P111" s="3"/>
    </row>
    <row r="112" spans="1:16" x14ac:dyDescent="0.3">
      <c r="A112" t="s">
        <v>36</v>
      </c>
      <c r="B112">
        <v>2016</v>
      </c>
      <c r="C112">
        <v>29072.54</v>
      </c>
      <c r="D112">
        <v>1</v>
      </c>
      <c r="E112">
        <f t="shared" si="8"/>
        <v>26.683067937400001</v>
      </c>
      <c r="F112">
        <v>96720.98</v>
      </c>
      <c r="G112">
        <f t="shared" si="7"/>
        <v>435263.75419599994</v>
      </c>
      <c r="H112">
        <f t="shared" si="9"/>
        <v>338542.77419599995</v>
      </c>
      <c r="I112" s="4">
        <v>3.4396719378492553E-5</v>
      </c>
      <c r="J112" s="4">
        <v>9.1781000000000001E-2</v>
      </c>
      <c r="K112" s="3">
        <v>3.1345999999999995E-3</v>
      </c>
      <c r="L112" s="3">
        <v>1.8440000000000002E-3</v>
      </c>
      <c r="M112" s="1">
        <v>3.5002</v>
      </c>
      <c r="N112" s="1">
        <v>1</v>
      </c>
      <c r="O112" s="3"/>
      <c r="P112" s="3"/>
    </row>
    <row r="113" spans="1:16" x14ac:dyDescent="0.3">
      <c r="A113" t="s">
        <v>36</v>
      </c>
      <c r="B113">
        <v>2015</v>
      </c>
      <c r="C113">
        <v>38919.160000000003</v>
      </c>
      <c r="D113">
        <v>1</v>
      </c>
      <c r="E113">
        <f t="shared" si="8"/>
        <v>-5.4027577912</v>
      </c>
      <c r="F113">
        <v>100706.1</v>
      </c>
      <c r="G113">
        <f t="shared" si="7"/>
        <v>469753.67405999999</v>
      </c>
      <c r="H113">
        <f t="shared" si="9"/>
        <v>369047.57406000001</v>
      </c>
      <c r="I113" s="4">
        <v>2.5694285282621719E-5</v>
      </c>
      <c r="J113" s="4">
        <v>-1.3882E-2</v>
      </c>
      <c r="K113" s="3">
        <v>9.4589999999999995E-4</v>
      </c>
      <c r="L113" s="3">
        <v>5.5599999999999996E-4</v>
      </c>
      <c r="M113" s="1">
        <v>3.6646000000000001</v>
      </c>
      <c r="N113" s="1">
        <v>1</v>
      </c>
      <c r="O113" s="3"/>
      <c r="P113" s="3"/>
    </row>
    <row r="114" spans="1:16" x14ac:dyDescent="0.3">
      <c r="A114" t="s">
        <v>36</v>
      </c>
      <c r="B114">
        <v>2014</v>
      </c>
      <c r="C114">
        <v>41677.15</v>
      </c>
      <c r="D114">
        <v>1</v>
      </c>
      <c r="E114">
        <f t="shared" si="8"/>
        <v>-2.1630440850000001</v>
      </c>
      <c r="F114">
        <v>108705.4</v>
      </c>
      <c r="G114">
        <f t="shared" si="7"/>
        <v>658885.17048000009</v>
      </c>
      <c r="H114">
        <f t="shared" si="9"/>
        <v>550179.77048000006</v>
      </c>
      <c r="I114" s="4">
        <v>2.3993963118879288E-5</v>
      </c>
      <c r="J114" s="4">
        <v>-5.1900000000000002E-3</v>
      </c>
      <c r="K114" s="3">
        <v>1.2811000000000001E-3</v>
      </c>
      <c r="L114" s="3">
        <v>6.2199999999999994E-4</v>
      </c>
      <c r="M114" s="1">
        <v>5.0612000000000004</v>
      </c>
      <c r="N114" s="1">
        <v>1</v>
      </c>
      <c r="O114" s="3"/>
      <c r="P114" s="3"/>
    </row>
    <row r="115" spans="1:16" x14ac:dyDescent="0.3">
      <c r="A115" t="s">
        <v>36</v>
      </c>
      <c r="B115">
        <v>2013</v>
      </c>
      <c r="C115">
        <v>43712.69</v>
      </c>
      <c r="D115">
        <v>1</v>
      </c>
      <c r="E115">
        <f t="shared" si="8"/>
        <v>9.5110070902000015</v>
      </c>
      <c r="F115">
        <v>100067.4</v>
      </c>
      <c r="G115">
        <f t="shared" si="7"/>
        <v>762593.64191999997</v>
      </c>
      <c r="H115">
        <f t="shared" si="9"/>
        <v>662526.24191999994</v>
      </c>
      <c r="I115" s="4">
        <v>2.2876652066024761E-5</v>
      </c>
      <c r="J115" s="4">
        <v>2.1758000000000003E-2</v>
      </c>
      <c r="K115" s="3">
        <v>2.0282E-3</v>
      </c>
      <c r="L115" s="3">
        <v>9.8799999999999995E-4</v>
      </c>
      <c r="M115" s="1">
        <v>6.6208</v>
      </c>
      <c r="N115" s="1">
        <v>1</v>
      </c>
      <c r="O115" s="3"/>
      <c r="P115" s="3"/>
    </row>
    <row r="116" spans="1:16" x14ac:dyDescent="0.3">
      <c r="A116" t="s">
        <v>36</v>
      </c>
      <c r="B116">
        <v>2012</v>
      </c>
      <c r="C116">
        <v>46036.06</v>
      </c>
      <c r="D116">
        <v>1</v>
      </c>
      <c r="E116">
        <f t="shared" si="8"/>
        <v>-18.832891785400001</v>
      </c>
      <c r="F116">
        <v>99793.14</v>
      </c>
      <c r="G116">
        <f t="shared" si="7"/>
        <v>867002.80032000004</v>
      </c>
      <c r="H116">
        <f t="shared" si="9"/>
        <v>767209.66032000002</v>
      </c>
      <c r="I116" s="4">
        <v>2.1722102195539757E-5</v>
      </c>
      <c r="J116" s="4">
        <v>-4.0909000000000001E-2</v>
      </c>
      <c r="K116" s="3">
        <v>-3.7490000000000001E-4</v>
      </c>
      <c r="L116" s="3">
        <v>-1.5800000000000002E-4</v>
      </c>
      <c r="M116" s="1">
        <v>7.6879999999999997</v>
      </c>
      <c r="N116" s="1">
        <v>1</v>
      </c>
      <c r="O116" s="3"/>
      <c r="P116" s="3"/>
    </row>
    <row r="117" spans="1:16" x14ac:dyDescent="0.3">
      <c r="A117" t="s">
        <v>36</v>
      </c>
      <c r="B117">
        <v>2011</v>
      </c>
      <c r="C117">
        <v>48866.82</v>
      </c>
      <c r="D117">
        <v>1</v>
      </c>
      <c r="E117">
        <f t="shared" si="8"/>
        <v>59.789531606400004</v>
      </c>
      <c r="F117">
        <v>104600.5</v>
      </c>
      <c r="G117">
        <f t="shared" si="7"/>
        <v>900035.00225000002</v>
      </c>
      <c r="H117">
        <f t="shared" si="9"/>
        <v>795434.50225000002</v>
      </c>
      <c r="I117" s="4">
        <v>2.0463782992222536E-5</v>
      </c>
      <c r="J117" s="4">
        <v>0.122352</v>
      </c>
      <c r="K117" s="3">
        <v>4.6121999999999995E-3</v>
      </c>
      <c r="L117" s="3">
        <v>1.923E-3</v>
      </c>
      <c r="M117" s="1">
        <v>7.6044999999999998</v>
      </c>
      <c r="N117" s="1">
        <v>1</v>
      </c>
      <c r="O117" s="3"/>
      <c r="P117" s="3"/>
    </row>
    <row r="118" spans="1:16" x14ac:dyDescent="0.3">
      <c r="A118" t="s">
        <v>36</v>
      </c>
      <c r="B118">
        <v>2010</v>
      </c>
      <c r="C118">
        <v>49030.07</v>
      </c>
      <c r="D118">
        <v>1</v>
      </c>
      <c r="E118">
        <f t="shared" si="8"/>
        <v>70.940627681600006</v>
      </c>
      <c r="F118">
        <v>96275.73</v>
      </c>
      <c r="G118">
        <f t="shared" si="7"/>
        <v>994797.86294400005</v>
      </c>
      <c r="H118">
        <f t="shared" si="9"/>
        <v>898522.13294400007</v>
      </c>
      <c r="I118" s="4">
        <v>2.0395646997852541E-5</v>
      </c>
      <c r="J118" s="4">
        <v>0.14468800000000001</v>
      </c>
      <c r="K118" s="3">
        <v>6.0555000000000001E-3</v>
      </c>
      <c r="L118" s="3">
        <v>2.5309999999999998E-3</v>
      </c>
      <c r="M118" s="1">
        <v>9.3328000000000007</v>
      </c>
      <c r="N118" s="1">
        <v>1</v>
      </c>
      <c r="O118" s="3"/>
      <c r="P118" s="3"/>
    </row>
    <row r="119" spans="1:16" x14ac:dyDescent="0.3">
      <c r="A119" t="s">
        <v>36</v>
      </c>
      <c r="B119">
        <v>2009</v>
      </c>
      <c r="C119">
        <v>45992.04</v>
      </c>
      <c r="D119">
        <v>1</v>
      </c>
      <c r="E119">
        <f t="shared" si="8"/>
        <v>55.447083583199998</v>
      </c>
      <c r="F119">
        <v>91570.7</v>
      </c>
      <c r="G119">
        <f t="shared" si="7"/>
        <v>871313.52463999996</v>
      </c>
      <c r="H119">
        <f t="shared" si="9"/>
        <v>779742.82464000001</v>
      </c>
      <c r="I119" s="4">
        <v>2.1742892900597582E-5</v>
      </c>
      <c r="J119" s="4">
        <v>0.120558</v>
      </c>
      <c r="K119" s="3">
        <v>1.9528300000000002E-2</v>
      </c>
      <c r="L119" s="3">
        <v>8.2820000000000012E-3</v>
      </c>
      <c r="M119" s="1">
        <v>8.5152000000000001</v>
      </c>
      <c r="N119" s="1">
        <v>1</v>
      </c>
      <c r="O119" s="3"/>
      <c r="P119" s="3"/>
    </row>
    <row r="120" spans="1:16" x14ac:dyDescent="0.3">
      <c r="A120" t="s">
        <v>38</v>
      </c>
      <c r="B120">
        <v>2023</v>
      </c>
      <c r="C120">
        <v>26974</v>
      </c>
      <c r="D120">
        <v>5768</v>
      </c>
      <c r="E120">
        <f t="shared" si="8"/>
        <v>43.680077160000003</v>
      </c>
      <c r="F120">
        <v>22101</v>
      </c>
      <c r="G120">
        <f t="shared" si="7"/>
        <v>33054.255600000004</v>
      </c>
      <c r="H120">
        <f t="shared" si="9"/>
        <v>10953.2556</v>
      </c>
      <c r="I120" s="4">
        <v>0.21383554533995699</v>
      </c>
      <c r="J120" s="4">
        <v>0.16193399999999999</v>
      </c>
      <c r="K120" s="3">
        <v>1.9763800000000002E-2</v>
      </c>
      <c r="L120" s="3">
        <v>0.10606600000000001</v>
      </c>
      <c r="M120" s="1">
        <v>0.49559999999999998</v>
      </c>
      <c r="N120" s="1">
        <v>3.5156000000000001</v>
      </c>
      <c r="O120" s="3"/>
      <c r="P120" s="3"/>
    </row>
    <row r="121" spans="1:16" x14ac:dyDescent="0.3">
      <c r="A121" t="s">
        <v>38</v>
      </c>
      <c r="B121">
        <v>2022</v>
      </c>
      <c r="C121">
        <v>26914</v>
      </c>
      <c r="D121">
        <v>11215</v>
      </c>
      <c r="E121">
        <f t="shared" si="8"/>
        <v>97.519918459999985</v>
      </c>
      <c r="F121">
        <v>26612</v>
      </c>
      <c r="G121">
        <f t="shared" si="7"/>
        <v>37557.515599999999</v>
      </c>
      <c r="H121">
        <f t="shared" si="9"/>
        <v>10945.515600000001</v>
      </c>
      <c r="I121" s="4">
        <v>0.41669762948651262</v>
      </c>
      <c r="J121" s="4">
        <v>0.36233899999999997</v>
      </c>
      <c r="K121" s="3">
        <v>3.66451E-2</v>
      </c>
      <c r="L121" s="3">
        <v>0.22069800000000001</v>
      </c>
      <c r="M121" s="1">
        <v>0.4113</v>
      </c>
      <c r="N121" s="1">
        <v>6.6502999999999997</v>
      </c>
      <c r="O121" s="3"/>
      <c r="P121" s="3"/>
    </row>
    <row r="122" spans="1:16" x14ac:dyDescent="0.3">
      <c r="A122" t="s">
        <v>38</v>
      </c>
      <c r="B122">
        <v>2021</v>
      </c>
      <c r="C122">
        <v>16675</v>
      </c>
      <c r="D122">
        <v>5630</v>
      </c>
      <c r="E122">
        <f t="shared" si="8"/>
        <v>43.319982499999995</v>
      </c>
      <c r="F122">
        <v>16893</v>
      </c>
      <c r="G122">
        <f t="shared" si="7"/>
        <v>23856.294600000001</v>
      </c>
      <c r="H122">
        <f t="shared" si="9"/>
        <v>6963.2946000000002</v>
      </c>
      <c r="I122" s="4">
        <v>0.33763118440779605</v>
      </c>
      <c r="J122" s="4">
        <v>0.25978999999999997</v>
      </c>
      <c r="K122" s="3">
        <v>2.5643799999999998E-2</v>
      </c>
      <c r="L122" s="3">
        <v>0.15046400000000001</v>
      </c>
      <c r="M122" s="1">
        <v>0.41220000000000001</v>
      </c>
      <c r="N122" s="1">
        <v>4.0903999999999998</v>
      </c>
      <c r="O122" s="3"/>
      <c r="P122" s="3"/>
    </row>
    <row r="123" spans="1:16" x14ac:dyDescent="0.3">
      <c r="A123" t="s">
        <v>38</v>
      </c>
      <c r="B123">
        <v>2020</v>
      </c>
      <c r="C123">
        <v>10918</v>
      </c>
      <c r="D123">
        <v>3227</v>
      </c>
      <c r="E123">
        <f t="shared" si="8"/>
        <v>27.960015380000002</v>
      </c>
      <c r="F123">
        <v>12204</v>
      </c>
      <c r="G123">
        <f t="shared" si="7"/>
        <v>14194.472400000001</v>
      </c>
      <c r="H123">
        <f t="shared" si="9"/>
        <v>1990.4723999999999</v>
      </c>
      <c r="I123" s="4">
        <v>0.29556695365451546</v>
      </c>
      <c r="J123" s="4">
        <v>0.25609100000000001</v>
      </c>
      <c r="K123" s="3">
        <v>2.2910499999999997E-2</v>
      </c>
      <c r="L123" s="3">
        <v>0.16147900000000001</v>
      </c>
      <c r="M123" s="1">
        <v>0.16309999999999999</v>
      </c>
      <c r="N123" s="1">
        <v>7.6738</v>
      </c>
      <c r="O123" s="3"/>
      <c r="P123" s="3"/>
    </row>
    <row r="124" spans="1:16" x14ac:dyDescent="0.3">
      <c r="A124" t="s">
        <v>38</v>
      </c>
      <c r="B124">
        <v>2019</v>
      </c>
      <c r="C124">
        <v>11716</v>
      </c>
      <c r="D124">
        <v>4066</v>
      </c>
      <c r="E124">
        <f t="shared" si="8"/>
        <v>41.409967680000001</v>
      </c>
      <c r="F124">
        <v>9342</v>
      </c>
      <c r="G124">
        <f t="shared" si="7"/>
        <v>11329.9776</v>
      </c>
      <c r="H124">
        <f t="shared" si="9"/>
        <v>1987.9775999999999</v>
      </c>
      <c r="I124" s="4">
        <v>0.34704677364288161</v>
      </c>
      <c r="J124" s="4">
        <v>0.35344799999999998</v>
      </c>
      <c r="K124" s="3">
        <v>4.4326699999999997E-2</v>
      </c>
      <c r="L124" s="3">
        <v>0.31154100000000001</v>
      </c>
      <c r="M124" s="1">
        <v>0.21279999999999999</v>
      </c>
      <c r="N124" s="1">
        <v>7.9436</v>
      </c>
      <c r="O124" s="3"/>
      <c r="P124" s="3"/>
    </row>
    <row r="125" spans="1:16" x14ac:dyDescent="0.3">
      <c r="A125" t="s">
        <v>38</v>
      </c>
      <c r="B125">
        <v>2018</v>
      </c>
      <c r="C125">
        <v>9714</v>
      </c>
      <c r="D125">
        <v>3409</v>
      </c>
      <c r="E125">
        <f t="shared" si="8"/>
        <v>30.470000940000006</v>
      </c>
      <c r="F125">
        <v>7471</v>
      </c>
      <c r="G125">
        <f t="shared" si="7"/>
        <v>9470.9866999999995</v>
      </c>
      <c r="H125">
        <f t="shared" si="9"/>
        <v>1999.9866999999999</v>
      </c>
      <c r="I125" s="4">
        <v>0.35093679225859586</v>
      </c>
      <c r="J125" s="4">
        <v>0.31367100000000003</v>
      </c>
      <c r="K125" s="3">
        <v>4.0784399999999998E-2</v>
      </c>
      <c r="L125" s="3">
        <v>0.271061</v>
      </c>
      <c r="M125" s="1">
        <v>0.26769999999999999</v>
      </c>
      <c r="N125" s="1">
        <v>8.0268999999999995</v>
      </c>
      <c r="O125" s="3"/>
      <c r="P125" s="3"/>
    </row>
    <row r="126" spans="1:16" x14ac:dyDescent="0.3">
      <c r="A126" t="s">
        <v>38</v>
      </c>
      <c r="B126">
        <v>2017</v>
      </c>
      <c r="C126">
        <v>6910</v>
      </c>
      <c r="D126">
        <v>2121</v>
      </c>
      <c r="E126">
        <f t="shared" si="8"/>
        <v>16.66001</v>
      </c>
      <c r="F126">
        <v>5762</v>
      </c>
      <c r="G126">
        <f t="shared" si="7"/>
        <v>8572.1274000000012</v>
      </c>
      <c r="H126">
        <f t="shared" si="9"/>
        <v>2810.1274000000003</v>
      </c>
      <c r="I126" s="4">
        <v>0.3069464544138929</v>
      </c>
      <c r="J126" s="4">
        <v>0.24109999999999998</v>
      </c>
      <c r="K126" s="3">
        <v>2.8913599999999998E-2</v>
      </c>
      <c r="L126" s="3">
        <v>0.16929200000000003</v>
      </c>
      <c r="M126" s="1">
        <v>0.48770000000000002</v>
      </c>
      <c r="N126" s="1">
        <v>4.774</v>
      </c>
      <c r="O126" s="3"/>
      <c r="P126" s="3"/>
    </row>
    <row r="127" spans="1:16" x14ac:dyDescent="0.3">
      <c r="A127" t="s">
        <v>38</v>
      </c>
      <c r="B127">
        <v>2016</v>
      </c>
      <c r="C127">
        <v>5010</v>
      </c>
      <c r="D127">
        <v>973</v>
      </c>
      <c r="E127">
        <f t="shared" si="8"/>
        <v>6.1400055</v>
      </c>
      <c r="F127">
        <v>4469</v>
      </c>
      <c r="G127">
        <f t="shared" si="7"/>
        <v>5979.0751</v>
      </c>
      <c r="H127">
        <f t="shared" si="9"/>
        <v>1510.0750999999998</v>
      </c>
      <c r="I127" s="4">
        <v>0.19421157684630738</v>
      </c>
      <c r="J127" s="4">
        <v>0.122555</v>
      </c>
      <c r="K127" s="3">
        <v>1.3739099999999999E-2</v>
      </c>
      <c r="L127" s="3">
        <v>8.3310999999999996E-2</v>
      </c>
      <c r="M127" s="1">
        <v>0.33789999999999998</v>
      </c>
      <c r="N127" s="1">
        <v>2.5746000000000002</v>
      </c>
      <c r="O127" s="3"/>
      <c r="P127" s="3"/>
    </row>
    <row r="128" spans="1:16" x14ac:dyDescent="0.3">
      <c r="A128" t="s">
        <v>38</v>
      </c>
      <c r="B128">
        <v>2015</v>
      </c>
      <c r="C128">
        <v>4682</v>
      </c>
      <c r="D128">
        <v>1007</v>
      </c>
      <c r="E128">
        <f t="shared" si="8"/>
        <v>6.3100250400000002</v>
      </c>
      <c r="F128">
        <v>4418</v>
      </c>
      <c r="G128">
        <f t="shared" si="7"/>
        <v>5815.8552</v>
      </c>
      <c r="H128">
        <f t="shared" si="9"/>
        <v>1397.8552</v>
      </c>
      <c r="I128" s="4">
        <v>0.2150790260572405</v>
      </c>
      <c r="J128" s="4">
        <v>0.134772</v>
      </c>
      <c r="K128" s="3">
        <v>1.42825E-2</v>
      </c>
      <c r="L128" s="3">
        <v>8.762700000000001E-2</v>
      </c>
      <c r="M128" s="1">
        <v>0.31640000000000001</v>
      </c>
      <c r="N128" s="1">
        <v>6.3761000000000001</v>
      </c>
      <c r="O128" s="3"/>
      <c r="P128" s="3"/>
    </row>
    <row r="129" spans="1:16" x14ac:dyDescent="0.3">
      <c r="A129" t="s">
        <v>38</v>
      </c>
      <c r="B129">
        <v>2014</v>
      </c>
      <c r="C129">
        <v>4130</v>
      </c>
      <c r="D129">
        <v>740</v>
      </c>
      <c r="E129">
        <f t="shared" si="8"/>
        <v>4.4000194000000006</v>
      </c>
      <c r="F129">
        <v>4456.3980000000001</v>
      </c>
      <c r="G129">
        <f t="shared" si="7"/>
        <v>5830.3055034000008</v>
      </c>
      <c r="H129">
        <f t="shared" si="9"/>
        <v>1373.9075034000002</v>
      </c>
      <c r="I129" s="4">
        <v>0.1791767554479419</v>
      </c>
      <c r="J129" s="4">
        <v>0.10653800000000001</v>
      </c>
      <c r="K129" s="3">
        <v>9.8733999999999992E-3</v>
      </c>
      <c r="L129" s="3">
        <v>6.0682E-2</v>
      </c>
      <c r="M129" s="1">
        <v>0.30830000000000002</v>
      </c>
      <c r="N129" s="1">
        <v>5.9489999999999998</v>
      </c>
      <c r="O129" s="3"/>
      <c r="P129" s="3"/>
    </row>
    <row r="130" spans="1:16" x14ac:dyDescent="0.3">
      <c r="A130" t="s">
        <v>38</v>
      </c>
      <c r="B130">
        <v>2013</v>
      </c>
      <c r="C130">
        <v>4280.1589999999997</v>
      </c>
      <c r="D130">
        <v>874.4742</v>
      </c>
      <c r="E130">
        <f t="shared" ref="E130:E162" si="10">(C130*J130/100)</f>
        <v>5.6253701721099993</v>
      </c>
      <c r="F130">
        <v>4827.7030000000004</v>
      </c>
      <c r="G130">
        <f t="shared" si="7"/>
        <v>4846.5310417000001</v>
      </c>
      <c r="H130">
        <f t="shared" ref="H130:H162" si="11">(F130*M130)</f>
        <v>18.8280417</v>
      </c>
      <c r="I130" s="4">
        <v>0.20430881189226852</v>
      </c>
      <c r="J130" s="4">
        <v>0.13142899999999999</v>
      </c>
      <c r="K130" s="3">
        <v>1.1652299999999999E-2</v>
      </c>
      <c r="L130" s="3">
        <v>8.7728E-2</v>
      </c>
      <c r="M130" s="1">
        <v>3.8999999999999998E-3</v>
      </c>
      <c r="N130" s="1">
        <v>4.8916000000000004</v>
      </c>
      <c r="O130" s="3"/>
      <c r="P130" s="3"/>
    </row>
    <row r="131" spans="1:16" x14ac:dyDescent="0.3">
      <c r="A131" t="s">
        <v>38</v>
      </c>
      <c r="B131">
        <v>2012</v>
      </c>
      <c r="C131">
        <v>3997.93</v>
      </c>
      <c r="D131">
        <v>852.50379999999996</v>
      </c>
      <c r="E131">
        <f t="shared" si="10"/>
        <v>5.8109112963999996</v>
      </c>
      <c r="F131">
        <v>4145.7240000000002</v>
      </c>
      <c r="G131">
        <f t="shared" ref="G131:G162" si="12">(F131+H131)</f>
        <v>4167.2817648</v>
      </c>
      <c r="H131">
        <f t="shared" si="11"/>
        <v>21.557764800000001</v>
      </c>
      <c r="I131" s="4">
        <v>0.21323629978513881</v>
      </c>
      <c r="J131" s="4">
        <v>0.145348</v>
      </c>
      <c r="K131" s="3">
        <v>1.4016600000000001E-2</v>
      </c>
      <c r="L131" s="3">
        <v>0.104646</v>
      </c>
      <c r="M131" s="1">
        <v>5.1999999999999998E-3</v>
      </c>
      <c r="N131" s="1">
        <v>4.1994999999999996</v>
      </c>
      <c r="O131" s="3"/>
      <c r="P131" s="3"/>
    </row>
    <row r="132" spans="1:16" x14ac:dyDescent="0.3">
      <c r="A132" t="s">
        <v>38</v>
      </c>
      <c r="B132">
        <v>2011</v>
      </c>
      <c r="C132">
        <v>3543.3090000000002</v>
      </c>
      <c r="D132">
        <v>442.73610000000002</v>
      </c>
      <c r="E132">
        <f t="shared" si="10"/>
        <v>2.5314462488700005</v>
      </c>
      <c r="F132">
        <v>3181.462</v>
      </c>
      <c r="G132">
        <f t="shared" si="12"/>
        <v>3205.0048188000001</v>
      </c>
      <c r="H132">
        <f t="shared" si="11"/>
        <v>23.542818800000003</v>
      </c>
      <c r="I132" s="4">
        <v>0.12494989852705479</v>
      </c>
      <c r="J132" s="4">
        <v>7.1443000000000006E-2</v>
      </c>
      <c r="K132" s="3">
        <v>7.9568999999999994E-3</v>
      </c>
      <c r="L132" s="3">
        <v>5.6314000000000003E-2</v>
      </c>
      <c r="M132" s="1">
        <v>7.4000000000000003E-3</v>
      </c>
      <c r="N132" s="1">
        <v>3.4232</v>
      </c>
      <c r="O132" s="3"/>
      <c r="P132" s="3"/>
    </row>
    <row r="133" spans="1:16" x14ac:dyDescent="0.3">
      <c r="A133" t="s">
        <v>38</v>
      </c>
      <c r="B133">
        <v>2010</v>
      </c>
      <c r="C133">
        <v>3326.4450000000002</v>
      </c>
      <c r="D133">
        <v>97.718900000000005</v>
      </c>
      <c r="E133">
        <f t="shared" si="10"/>
        <v>-0.67985882910000006</v>
      </c>
      <c r="F133">
        <v>2665.14</v>
      </c>
      <c r="G133">
        <f t="shared" si="12"/>
        <v>2689.6592879999998</v>
      </c>
      <c r="H133">
        <f t="shared" si="11"/>
        <v>24.519288</v>
      </c>
      <c r="I133" s="4">
        <v>2.9376376281585896E-2</v>
      </c>
      <c r="J133" s="4">
        <v>-2.0438000000000001E-2</v>
      </c>
      <c r="K133" s="3">
        <v>-2.5509999999999999E-3</v>
      </c>
      <c r="L133" s="3">
        <v>-1.8959E-2</v>
      </c>
      <c r="M133" s="1">
        <v>9.1999999999999998E-3</v>
      </c>
      <c r="N133" s="1">
        <v>3.1627999999999998</v>
      </c>
      <c r="O133" s="3"/>
      <c r="P133" s="3"/>
    </row>
    <row r="134" spans="1:16" x14ac:dyDescent="0.3">
      <c r="A134" t="s">
        <v>38</v>
      </c>
      <c r="B134">
        <v>2009</v>
      </c>
      <c r="C134">
        <v>3424.8589999999999</v>
      </c>
      <c r="D134">
        <v>114.3228</v>
      </c>
      <c r="E134">
        <f t="shared" si="10"/>
        <v>-0.30039438288999998</v>
      </c>
      <c r="F134">
        <v>2394.652</v>
      </c>
      <c r="G134">
        <f t="shared" si="12"/>
        <v>2420.2747764000001</v>
      </c>
      <c r="H134">
        <f t="shared" si="11"/>
        <v>25.622776399999999</v>
      </c>
      <c r="I134" s="4">
        <v>3.3380293904070213E-2</v>
      </c>
      <c r="J134" s="4">
        <v>-8.7709999999999993E-3</v>
      </c>
      <c r="K134" s="3">
        <v>-1.2545E-3</v>
      </c>
      <c r="L134" s="3">
        <v>-8.966E-3</v>
      </c>
      <c r="M134" s="1">
        <v>1.0699999999999999E-2</v>
      </c>
      <c r="N134" s="1">
        <v>2.7845</v>
      </c>
      <c r="O134" s="3"/>
      <c r="P134" s="3"/>
    </row>
    <row r="135" spans="1:16" x14ac:dyDescent="0.3">
      <c r="A135" t="s">
        <v>40</v>
      </c>
      <c r="B135">
        <v>2022</v>
      </c>
      <c r="C135">
        <v>63054</v>
      </c>
      <c r="D135">
        <v>15369</v>
      </c>
      <c r="E135">
        <f t="shared" si="10"/>
        <v>80.139742379999987</v>
      </c>
      <c r="F135">
        <v>103286</v>
      </c>
      <c r="G135">
        <f t="shared" si="12"/>
        <v>145333.73060000001</v>
      </c>
      <c r="H135">
        <f t="shared" si="11"/>
        <v>42047.730600000003</v>
      </c>
      <c r="I135" s="4">
        <v>0.24374345798839092</v>
      </c>
      <c r="J135" s="4">
        <v>0.12709699999999999</v>
      </c>
      <c r="K135" s="3">
        <v>7.7618999999999995E-3</v>
      </c>
      <c r="L135" s="3">
        <v>4.4025000000000002E-2</v>
      </c>
      <c r="M135" s="1">
        <v>0.40710000000000002</v>
      </c>
      <c r="N135" s="1">
        <v>1.5676000000000001</v>
      </c>
      <c r="O135" s="3"/>
      <c r="P135" s="3"/>
    </row>
    <row r="136" spans="1:16" x14ac:dyDescent="0.3">
      <c r="A136" t="s">
        <v>40</v>
      </c>
      <c r="B136">
        <v>2021</v>
      </c>
      <c r="C136">
        <v>79024</v>
      </c>
      <c r="D136">
        <v>31248</v>
      </c>
      <c r="E136">
        <f t="shared" si="10"/>
        <v>198.67977008000003</v>
      </c>
      <c r="F136">
        <v>95391</v>
      </c>
      <c r="G136">
        <f t="shared" si="12"/>
        <v>133490.1654</v>
      </c>
      <c r="H136">
        <f t="shared" si="11"/>
        <v>38099.165399999998</v>
      </c>
      <c r="I136" s="4">
        <v>0.39542417493419718</v>
      </c>
      <c r="J136" s="4">
        <v>0.251417</v>
      </c>
      <c r="K136" s="3">
        <v>2.0827999999999999E-2</v>
      </c>
      <c r="L136" s="3">
        <v>0.11797700000000001</v>
      </c>
      <c r="M136" s="1">
        <v>0.39939999999999998</v>
      </c>
      <c r="N136" s="1">
        <v>2.1322999999999999</v>
      </c>
      <c r="O136" s="3"/>
      <c r="P136" s="3"/>
    </row>
    <row r="137" spans="1:16" x14ac:dyDescent="0.3">
      <c r="A137" t="s">
        <v>40</v>
      </c>
      <c r="B137">
        <v>2020</v>
      </c>
      <c r="C137">
        <v>77867</v>
      </c>
      <c r="D137">
        <v>35917</v>
      </c>
      <c r="E137">
        <f t="shared" si="10"/>
        <v>208.99035598000003</v>
      </c>
      <c r="F137">
        <v>81038</v>
      </c>
      <c r="G137">
        <f t="shared" si="12"/>
        <v>117440.2696</v>
      </c>
      <c r="H137">
        <f t="shared" si="11"/>
        <v>36402.2696</v>
      </c>
      <c r="I137" s="4">
        <v>0.46126086789012033</v>
      </c>
      <c r="J137" s="4">
        <v>0.26839400000000002</v>
      </c>
      <c r="K137" s="3">
        <v>2.5789099999999999E-2</v>
      </c>
      <c r="L137" s="3">
        <v>0.136514</v>
      </c>
      <c r="M137" s="1">
        <v>0.44919999999999999</v>
      </c>
      <c r="N137" s="1">
        <v>1.9087000000000001</v>
      </c>
      <c r="O137" s="3"/>
      <c r="P137" s="3"/>
    </row>
    <row r="138" spans="1:16" x14ac:dyDescent="0.3">
      <c r="A138" t="s">
        <v>40</v>
      </c>
      <c r="B138">
        <v>2019</v>
      </c>
      <c r="C138">
        <v>71965</v>
      </c>
      <c r="D138">
        <v>32861</v>
      </c>
      <c r="E138">
        <f t="shared" si="10"/>
        <v>210.48035339999998</v>
      </c>
      <c r="F138">
        <v>77504</v>
      </c>
      <c r="G138">
        <f t="shared" si="12"/>
        <v>106505.99679999999</v>
      </c>
      <c r="H138">
        <f t="shared" si="11"/>
        <v>29001.996799999997</v>
      </c>
      <c r="I138" s="4">
        <v>0.45662474814145765</v>
      </c>
      <c r="J138" s="4">
        <v>0.29247599999999996</v>
      </c>
      <c r="K138" s="3">
        <v>2.7157299999999999E-2</v>
      </c>
      <c r="L138" s="3">
        <v>0.154171</v>
      </c>
      <c r="M138" s="1">
        <v>0.37419999999999998</v>
      </c>
      <c r="N138" s="1">
        <v>1.4001999999999999</v>
      </c>
      <c r="O138" s="3"/>
      <c r="P138" s="3"/>
    </row>
    <row r="139" spans="1:16" x14ac:dyDescent="0.3">
      <c r="A139" t="s">
        <v>40</v>
      </c>
      <c r="B139">
        <v>2018</v>
      </c>
      <c r="C139">
        <v>70848</v>
      </c>
      <c r="D139">
        <v>32401</v>
      </c>
      <c r="E139">
        <f t="shared" si="10"/>
        <v>210.52979136000002</v>
      </c>
      <c r="F139">
        <v>74563</v>
      </c>
      <c r="G139">
        <f t="shared" si="12"/>
        <v>100921.0205</v>
      </c>
      <c r="H139">
        <f t="shared" si="11"/>
        <v>26358.020499999999</v>
      </c>
      <c r="I139" s="4">
        <v>0.45733118789521227</v>
      </c>
      <c r="J139" s="4">
        <v>0.297157</v>
      </c>
      <c r="K139" s="3">
        <v>2.8235199999999998E-2</v>
      </c>
      <c r="L139" s="3">
        <v>0.164524</v>
      </c>
      <c r="M139" s="1">
        <v>0.35349999999999998</v>
      </c>
      <c r="N139" s="1">
        <v>1.7314000000000001</v>
      </c>
      <c r="O139" s="3"/>
      <c r="P139" s="3"/>
    </row>
    <row r="140" spans="1:16" x14ac:dyDescent="0.3">
      <c r="A140" t="s">
        <v>40</v>
      </c>
      <c r="B140">
        <v>2017</v>
      </c>
      <c r="C140">
        <v>62761</v>
      </c>
      <c r="D140">
        <v>26179</v>
      </c>
      <c r="E140">
        <f t="shared" si="10"/>
        <v>96.009894970000005</v>
      </c>
      <c r="F140">
        <v>69019</v>
      </c>
      <c r="G140">
        <f t="shared" si="12"/>
        <v>95832.881500000003</v>
      </c>
      <c r="H140">
        <f t="shared" si="11"/>
        <v>26813.8815</v>
      </c>
      <c r="I140" s="4">
        <v>0.41712209811825818</v>
      </c>
      <c r="J140" s="4">
        <v>0.152977</v>
      </c>
      <c r="K140" s="3">
        <v>1.39107E-2</v>
      </c>
      <c r="L140" s="3">
        <v>7.7898999999999996E-2</v>
      </c>
      <c r="M140" s="1">
        <v>0.38850000000000001</v>
      </c>
      <c r="N140" s="1">
        <v>1.6934</v>
      </c>
      <c r="O140" s="3"/>
      <c r="P140" s="3"/>
    </row>
    <row r="141" spans="1:16" x14ac:dyDescent="0.3">
      <c r="A141" t="s">
        <v>40</v>
      </c>
      <c r="B141">
        <v>2016</v>
      </c>
      <c r="C141">
        <v>59387</v>
      </c>
      <c r="D141">
        <v>20923</v>
      </c>
      <c r="E141">
        <f t="shared" si="10"/>
        <v>103.15996996</v>
      </c>
      <c r="F141">
        <v>66226</v>
      </c>
      <c r="G141">
        <f t="shared" si="12"/>
        <v>91511.08679999999</v>
      </c>
      <c r="H141">
        <f t="shared" si="11"/>
        <v>25285.086799999997</v>
      </c>
      <c r="I141" s="4">
        <v>0.35231616347011974</v>
      </c>
      <c r="J141" s="4">
        <v>0.173708</v>
      </c>
      <c r="K141" s="3">
        <v>1.5577000000000001E-2</v>
      </c>
      <c r="L141" s="3">
        <v>9.1028999999999999E-2</v>
      </c>
      <c r="M141" s="1">
        <v>0.38179999999999997</v>
      </c>
      <c r="N141" s="1">
        <v>1.7490000000000001</v>
      </c>
      <c r="O141" s="3"/>
      <c r="P141" s="3"/>
    </row>
    <row r="142" spans="1:16" x14ac:dyDescent="0.3">
      <c r="A142" t="s">
        <v>40</v>
      </c>
      <c r="B142">
        <v>2015</v>
      </c>
      <c r="C142">
        <v>55355</v>
      </c>
      <c r="D142">
        <v>22713</v>
      </c>
      <c r="E142">
        <f t="shared" si="10"/>
        <v>114.20013275000001</v>
      </c>
      <c r="F142">
        <v>61085</v>
      </c>
      <c r="G142">
        <f t="shared" si="12"/>
        <v>83753.643500000006</v>
      </c>
      <c r="H142">
        <f t="shared" si="11"/>
        <v>22668.643499999998</v>
      </c>
      <c r="I142" s="4">
        <v>0.41031523800921327</v>
      </c>
      <c r="J142" s="4">
        <v>0.20630500000000002</v>
      </c>
      <c r="K142" s="3">
        <v>1.8695299999999998E-2</v>
      </c>
      <c r="L142" s="3">
        <v>0.11255800000000001</v>
      </c>
      <c r="M142" s="1">
        <v>0.37109999999999999</v>
      </c>
      <c r="N142" s="1">
        <v>2.4491999999999998</v>
      </c>
      <c r="O142" s="3"/>
      <c r="P142" s="3"/>
    </row>
    <row r="143" spans="1:16" x14ac:dyDescent="0.3">
      <c r="A143" t="s">
        <v>40</v>
      </c>
      <c r="B143">
        <v>2014</v>
      </c>
      <c r="C143">
        <v>55870</v>
      </c>
      <c r="D143">
        <v>23896</v>
      </c>
      <c r="E143">
        <f t="shared" si="10"/>
        <v>117.03982819999999</v>
      </c>
      <c r="F143">
        <v>55865</v>
      </c>
      <c r="G143">
        <f t="shared" si="12"/>
        <v>69518.406000000003</v>
      </c>
      <c r="H143">
        <f t="shared" si="11"/>
        <v>13653.406000000001</v>
      </c>
      <c r="I143" s="4">
        <v>0.42770717737605163</v>
      </c>
      <c r="J143" s="4">
        <v>0.20948599999999998</v>
      </c>
      <c r="K143" s="3">
        <v>2.09505E-2</v>
      </c>
      <c r="L143" s="3">
        <v>0.127356</v>
      </c>
      <c r="M143" s="1">
        <v>0.24440000000000001</v>
      </c>
      <c r="N143" s="1">
        <v>1.7319</v>
      </c>
      <c r="O143" s="3"/>
      <c r="P143" s="3"/>
    </row>
    <row r="144" spans="1:16" x14ac:dyDescent="0.3">
      <c r="A144" t="s">
        <v>40</v>
      </c>
      <c r="B144">
        <v>2013</v>
      </c>
      <c r="C144">
        <v>52708</v>
      </c>
      <c r="D144">
        <v>20323</v>
      </c>
      <c r="E144">
        <f t="shared" si="10"/>
        <v>96.200006200000004</v>
      </c>
      <c r="F144">
        <v>58256</v>
      </c>
      <c r="G144">
        <f t="shared" si="12"/>
        <v>71701.484800000006</v>
      </c>
      <c r="H144">
        <f t="shared" si="11"/>
        <v>13445.4848</v>
      </c>
      <c r="I144" s="4">
        <v>0.38557714198983079</v>
      </c>
      <c r="J144" s="4">
        <v>0.18251500000000001</v>
      </c>
      <c r="K144" s="3">
        <v>1.6513300000000002E-2</v>
      </c>
      <c r="L144" s="3">
        <v>0.10416</v>
      </c>
      <c r="M144" s="1">
        <v>0.23080000000000001</v>
      </c>
      <c r="N144" s="1">
        <v>2.3647</v>
      </c>
      <c r="O144" s="3"/>
      <c r="P144" s="3"/>
    </row>
    <row r="145" spans="1:16" x14ac:dyDescent="0.3">
      <c r="A145" t="s">
        <v>40</v>
      </c>
      <c r="B145">
        <v>2012</v>
      </c>
      <c r="C145">
        <v>53341</v>
      </c>
      <c r="D145">
        <v>22160</v>
      </c>
      <c r="E145">
        <f t="shared" si="10"/>
        <v>110.04995074</v>
      </c>
      <c r="F145">
        <v>51203</v>
      </c>
      <c r="G145">
        <f t="shared" si="12"/>
        <v>64648.907800000001</v>
      </c>
      <c r="H145">
        <f t="shared" si="11"/>
        <v>13445.907800000001</v>
      </c>
      <c r="I145" s="4">
        <v>0.4154402804596839</v>
      </c>
      <c r="J145" s="4">
        <v>0.206314</v>
      </c>
      <c r="K145" s="3">
        <v>2.1492899999999995E-2</v>
      </c>
      <c r="L145" s="3">
        <v>0.130467</v>
      </c>
      <c r="M145" s="1">
        <v>0.2626</v>
      </c>
      <c r="N145" s="1">
        <v>2.4312</v>
      </c>
      <c r="O145" s="3"/>
      <c r="P145" s="3"/>
    </row>
    <row r="146" spans="1:16" x14ac:dyDescent="0.3">
      <c r="A146" t="s">
        <v>40</v>
      </c>
      <c r="B146">
        <v>2011</v>
      </c>
      <c r="C146">
        <v>53999</v>
      </c>
      <c r="D146">
        <v>23541</v>
      </c>
      <c r="E146">
        <f t="shared" si="10"/>
        <v>129.41994328999999</v>
      </c>
      <c r="F146">
        <v>45911</v>
      </c>
      <c r="G146">
        <f t="shared" si="12"/>
        <v>53242.986700000001</v>
      </c>
      <c r="H146">
        <f t="shared" si="11"/>
        <v>7331.9867000000004</v>
      </c>
      <c r="I146" s="4">
        <v>0.43595251763921555</v>
      </c>
      <c r="J146" s="4">
        <v>0.239671</v>
      </c>
      <c r="K146" s="3">
        <v>2.81893E-2</v>
      </c>
      <c r="L146" s="3">
        <v>0.181977</v>
      </c>
      <c r="M146" s="1">
        <v>0.15970000000000001</v>
      </c>
      <c r="N146" s="1">
        <v>2.1509999999999998</v>
      </c>
      <c r="O146" s="3"/>
      <c r="P146" s="3"/>
    </row>
    <row r="147" spans="1:16" x14ac:dyDescent="0.3">
      <c r="A147" t="s">
        <v>40</v>
      </c>
      <c r="B147">
        <v>2010</v>
      </c>
      <c r="C147">
        <v>43623</v>
      </c>
      <c r="D147">
        <v>20226</v>
      </c>
      <c r="E147">
        <f t="shared" si="10"/>
        <v>114.63993531</v>
      </c>
      <c r="F147">
        <v>49430</v>
      </c>
      <c r="G147">
        <f t="shared" si="12"/>
        <v>51545.603999999999</v>
      </c>
      <c r="H147">
        <f t="shared" si="11"/>
        <v>2115.6039999999998</v>
      </c>
      <c r="I147" s="4">
        <v>0.46365449418884536</v>
      </c>
      <c r="J147" s="4">
        <v>0.262797</v>
      </c>
      <c r="K147" s="3">
        <v>2.3192399999999998E-2</v>
      </c>
      <c r="L147" s="3">
        <v>0.18143300000000001</v>
      </c>
      <c r="M147" s="1">
        <v>4.2799999999999998E-2</v>
      </c>
      <c r="N147" s="1">
        <v>3.3892000000000002</v>
      </c>
      <c r="O147" s="3"/>
      <c r="P147" s="3"/>
    </row>
    <row r="148" spans="1:16" x14ac:dyDescent="0.3">
      <c r="A148" t="s">
        <v>40</v>
      </c>
      <c r="B148">
        <v>2009</v>
      </c>
      <c r="C148">
        <v>35127</v>
      </c>
      <c r="D148">
        <v>10763</v>
      </c>
      <c r="E148">
        <f t="shared" si="10"/>
        <v>43.689908789999997</v>
      </c>
      <c r="F148">
        <v>41704</v>
      </c>
      <c r="G148">
        <f t="shared" si="12"/>
        <v>43926.823199999999</v>
      </c>
      <c r="H148">
        <f t="shared" si="11"/>
        <v>2222.8231999999998</v>
      </c>
      <c r="I148" s="4">
        <v>0.30640248242092977</v>
      </c>
      <c r="J148" s="4">
        <v>0.124377</v>
      </c>
      <c r="K148" s="3">
        <v>1.04762E-2</v>
      </c>
      <c r="L148" s="3">
        <v>8.2285999999999998E-2</v>
      </c>
      <c r="M148" s="1">
        <v>5.33E-2</v>
      </c>
      <c r="N148" s="1">
        <v>2.7871000000000001</v>
      </c>
      <c r="O148" s="3"/>
      <c r="P148" s="3"/>
    </row>
    <row r="149" spans="1:16" x14ac:dyDescent="0.3">
      <c r="A149" t="s">
        <v>41</v>
      </c>
      <c r="B149">
        <v>2022</v>
      </c>
      <c r="C149">
        <v>513983</v>
      </c>
      <c r="D149">
        <v>54169</v>
      </c>
      <c r="E149">
        <f t="shared" si="10"/>
        <v>-27.220539679999998</v>
      </c>
      <c r="F149">
        <v>146043</v>
      </c>
      <c r="G149">
        <f t="shared" si="12"/>
        <v>213193.57140000002</v>
      </c>
      <c r="H149">
        <f t="shared" si="11"/>
        <v>67150.571400000001</v>
      </c>
      <c r="I149" s="4">
        <v>0.10539064521589235</v>
      </c>
      <c r="J149" s="4">
        <v>-5.2959999999999995E-3</v>
      </c>
      <c r="K149" s="3">
        <v>-1.8637999999999999E-3</v>
      </c>
      <c r="L149" s="3">
        <v>-5.8830000000000002E-3</v>
      </c>
      <c r="M149" s="1">
        <v>0.45979999999999999</v>
      </c>
      <c r="N149" s="1">
        <v>0.9446</v>
      </c>
      <c r="O149" s="3"/>
      <c r="P149" s="3"/>
    </row>
    <row r="150" spans="1:16" x14ac:dyDescent="0.3">
      <c r="A150" t="s">
        <v>41</v>
      </c>
      <c r="B150">
        <v>2021</v>
      </c>
      <c r="C150">
        <v>469822</v>
      </c>
      <c r="D150">
        <v>59312</v>
      </c>
      <c r="E150">
        <f t="shared" si="10"/>
        <v>333.63939507999999</v>
      </c>
      <c r="F150">
        <v>138245</v>
      </c>
      <c r="G150">
        <f t="shared" si="12"/>
        <v>186990.18700000001</v>
      </c>
      <c r="H150">
        <f t="shared" si="11"/>
        <v>48745.187000000005</v>
      </c>
      <c r="I150" s="4">
        <v>0.12624355607017126</v>
      </c>
      <c r="J150" s="4">
        <v>7.1013999999999994E-2</v>
      </c>
      <c r="K150" s="3">
        <v>2.4134000000000003E-2</v>
      </c>
      <c r="L150" s="3">
        <v>7.9334000000000002E-2</v>
      </c>
      <c r="M150" s="1">
        <v>0.35260000000000002</v>
      </c>
      <c r="N150" s="1">
        <v>1.1357999999999999</v>
      </c>
      <c r="O150" s="3"/>
      <c r="P150" s="3"/>
    </row>
    <row r="151" spans="1:16" x14ac:dyDescent="0.3">
      <c r="A151" t="s">
        <v>41</v>
      </c>
      <c r="B151">
        <v>2020</v>
      </c>
      <c r="C151">
        <v>386064</v>
      </c>
      <c r="D151">
        <v>48079</v>
      </c>
      <c r="E151">
        <f t="shared" si="10"/>
        <v>213.30808127999998</v>
      </c>
      <c r="F151">
        <v>93404</v>
      </c>
      <c r="G151">
        <f t="shared" si="12"/>
        <v>125217.40240000001</v>
      </c>
      <c r="H151">
        <f t="shared" si="11"/>
        <v>31813.402400000003</v>
      </c>
      <c r="I151" s="4">
        <v>0.12453634630527581</v>
      </c>
      <c r="J151" s="4">
        <v>5.5251999999999996E-2</v>
      </c>
      <c r="K151" s="3">
        <v>2.2837399999999997E-2</v>
      </c>
      <c r="L151" s="3">
        <v>6.6410999999999998E-2</v>
      </c>
      <c r="M151" s="1">
        <v>0.34060000000000001</v>
      </c>
      <c r="N151" s="1">
        <v>1.0502</v>
      </c>
      <c r="O151" s="3"/>
      <c r="P151" s="3"/>
    </row>
    <row r="152" spans="1:16" x14ac:dyDescent="0.3">
      <c r="A152" t="s">
        <v>41</v>
      </c>
      <c r="B152">
        <v>2019</v>
      </c>
      <c r="C152">
        <v>280522</v>
      </c>
      <c r="D152">
        <v>36330</v>
      </c>
      <c r="E152">
        <f t="shared" si="10"/>
        <v>115.88083297999999</v>
      </c>
      <c r="F152">
        <v>62060</v>
      </c>
      <c r="G152">
        <f t="shared" si="12"/>
        <v>85475.237999999998</v>
      </c>
      <c r="H152">
        <f t="shared" si="11"/>
        <v>23415.238000000001</v>
      </c>
      <c r="I152" s="4">
        <v>0.12950855904349748</v>
      </c>
      <c r="J152" s="4">
        <v>4.1308999999999998E-2</v>
      </c>
      <c r="K152" s="3">
        <v>1.8672299999999999E-2</v>
      </c>
      <c r="L152" s="3">
        <v>5.1445999999999999E-2</v>
      </c>
      <c r="M152" s="1">
        <v>0.37730000000000002</v>
      </c>
      <c r="N152" s="1">
        <v>1.097</v>
      </c>
      <c r="O152" s="3"/>
      <c r="P152" s="3"/>
    </row>
    <row r="153" spans="1:16" x14ac:dyDescent="0.3">
      <c r="A153" t="s">
        <v>41</v>
      </c>
      <c r="B153">
        <v>2018</v>
      </c>
      <c r="C153">
        <v>232887</v>
      </c>
      <c r="D153">
        <v>27762</v>
      </c>
      <c r="E153">
        <f t="shared" si="10"/>
        <v>100.73061411000002</v>
      </c>
      <c r="F153">
        <v>43549</v>
      </c>
      <c r="G153">
        <f t="shared" si="12"/>
        <v>67043.685499999992</v>
      </c>
      <c r="H153">
        <f t="shared" si="11"/>
        <v>23494.6855</v>
      </c>
      <c r="I153" s="4">
        <v>0.11920802792770743</v>
      </c>
      <c r="J153" s="4">
        <v>4.3253000000000007E-2</v>
      </c>
      <c r="K153" s="3">
        <v>2.3130299999999999E-2</v>
      </c>
      <c r="L153" s="3">
        <v>6.1931E-2</v>
      </c>
      <c r="M153" s="1">
        <v>0.53949999999999998</v>
      </c>
      <c r="N153" s="1">
        <v>1.0981000000000001</v>
      </c>
      <c r="O153" s="3"/>
      <c r="P153" s="3"/>
    </row>
    <row r="154" spans="1:16" x14ac:dyDescent="0.3">
      <c r="A154" t="s">
        <v>41</v>
      </c>
      <c r="B154">
        <v>2017</v>
      </c>
      <c r="C154">
        <v>177866</v>
      </c>
      <c r="D154">
        <v>15584</v>
      </c>
      <c r="E154">
        <f t="shared" si="10"/>
        <v>30.329710320000004</v>
      </c>
      <c r="F154">
        <v>27709</v>
      </c>
      <c r="G154">
        <f t="shared" si="12"/>
        <v>52453.137000000002</v>
      </c>
      <c r="H154">
        <f t="shared" si="11"/>
        <v>24744.136999999999</v>
      </c>
      <c r="I154" s="4">
        <v>8.7616520301800241E-2</v>
      </c>
      <c r="J154" s="4">
        <v>1.7052000000000001E-2</v>
      </c>
      <c r="K154" s="3">
        <v>1.09459E-2</v>
      </c>
      <c r="L154" s="3">
        <v>2.3098E-2</v>
      </c>
      <c r="M154" s="1">
        <v>0.89300000000000002</v>
      </c>
      <c r="N154" s="1">
        <v>1.04</v>
      </c>
      <c r="O154" s="3"/>
      <c r="P154" s="3"/>
    </row>
    <row r="155" spans="1:16" x14ac:dyDescent="0.3">
      <c r="A155" t="s">
        <v>41</v>
      </c>
      <c r="B155">
        <v>2016</v>
      </c>
      <c r="C155">
        <v>135987</v>
      </c>
      <c r="D155">
        <v>12302</v>
      </c>
      <c r="E155">
        <f t="shared" si="10"/>
        <v>23.709333449999999</v>
      </c>
      <c r="F155">
        <v>19285</v>
      </c>
      <c r="G155">
        <f t="shared" si="12"/>
        <v>26979.715</v>
      </c>
      <c r="H155">
        <f t="shared" si="11"/>
        <v>7694.7150000000001</v>
      </c>
      <c r="I155" s="4">
        <v>9.0464529697691698E-2</v>
      </c>
      <c r="J155" s="4">
        <v>1.7434999999999999E-2</v>
      </c>
      <c r="K155" s="3">
        <v>1.22945E-2</v>
      </c>
      <c r="L155" s="3">
        <v>2.8429000000000003E-2</v>
      </c>
      <c r="M155" s="1">
        <v>0.39900000000000002</v>
      </c>
      <c r="N155" s="1">
        <v>1.0448</v>
      </c>
      <c r="O155" s="3"/>
      <c r="P155" s="3"/>
    </row>
    <row r="156" spans="1:16" x14ac:dyDescent="0.3">
      <c r="A156" t="s">
        <v>41</v>
      </c>
      <c r="B156">
        <v>2015</v>
      </c>
      <c r="C156">
        <v>107006</v>
      </c>
      <c r="D156">
        <v>8514</v>
      </c>
      <c r="E156">
        <f t="shared" si="10"/>
        <v>5.9602341999999995</v>
      </c>
      <c r="F156">
        <v>13384</v>
      </c>
      <c r="G156">
        <f t="shared" si="12"/>
        <v>21611.144800000002</v>
      </c>
      <c r="H156">
        <f t="shared" si="11"/>
        <v>8227.1448</v>
      </c>
      <c r="I156" s="4">
        <v>7.9565631833728945E-2</v>
      </c>
      <c r="J156" s="4">
        <v>5.5700000000000003E-3</v>
      </c>
      <c r="K156" s="3">
        <v>4.4530999999999998E-3</v>
      </c>
      <c r="L156" s="3">
        <v>9.2049999999999996E-3</v>
      </c>
      <c r="M156" s="1">
        <v>0.61470000000000002</v>
      </c>
      <c r="N156" s="1">
        <v>1.0536000000000001</v>
      </c>
      <c r="O156" s="3"/>
      <c r="P156" s="3"/>
    </row>
    <row r="157" spans="1:16" x14ac:dyDescent="0.3">
      <c r="A157" t="s">
        <v>41</v>
      </c>
      <c r="B157">
        <v>2014</v>
      </c>
      <c r="C157">
        <v>88988</v>
      </c>
      <c r="D157">
        <v>4924</v>
      </c>
      <c r="E157">
        <f t="shared" si="10"/>
        <v>-2.4097950400000001</v>
      </c>
      <c r="F157">
        <v>10741</v>
      </c>
      <c r="G157">
        <f t="shared" si="12"/>
        <v>19006.199499999999</v>
      </c>
      <c r="H157">
        <f t="shared" si="11"/>
        <v>8265.1994999999988</v>
      </c>
      <c r="I157" s="4">
        <v>5.5333303366746078E-2</v>
      </c>
      <c r="J157" s="4">
        <v>-2.7079999999999999E-3</v>
      </c>
      <c r="K157" s="3">
        <v>-2.2436999999999999E-3</v>
      </c>
      <c r="L157" s="3">
        <v>-4.4219999999999997E-3</v>
      </c>
      <c r="M157" s="1">
        <v>0.76949999999999996</v>
      </c>
      <c r="N157" s="1">
        <v>1.1153</v>
      </c>
      <c r="O157" s="3"/>
      <c r="P157" s="3"/>
    </row>
    <row r="158" spans="1:16" x14ac:dyDescent="0.3">
      <c r="A158" t="s">
        <v>41</v>
      </c>
      <c r="B158">
        <v>2013</v>
      </c>
      <c r="C158">
        <v>74452</v>
      </c>
      <c r="D158">
        <v>3998</v>
      </c>
      <c r="E158">
        <f t="shared" si="10"/>
        <v>2.7398335999999999</v>
      </c>
      <c r="F158">
        <v>9746</v>
      </c>
      <c r="G158">
        <f t="shared" si="12"/>
        <v>12936.840400000001</v>
      </c>
      <c r="H158">
        <f t="shared" si="11"/>
        <v>3190.8404</v>
      </c>
      <c r="I158" s="4">
        <v>5.3699027561381826E-2</v>
      </c>
      <c r="J158" s="4">
        <v>3.6800000000000001E-3</v>
      </c>
      <c r="K158" s="3">
        <v>2.8113999999999999E-3</v>
      </c>
      <c r="L158" s="3">
        <v>6.8230000000000001E-3</v>
      </c>
      <c r="M158" s="1">
        <v>0.32740000000000002</v>
      </c>
      <c r="N158" s="1">
        <v>1.0716000000000001</v>
      </c>
      <c r="O158" s="3"/>
      <c r="P158" s="3"/>
    </row>
    <row r="159" spans="1:16" x14ac:dyDescent="0.3">
      <c r="A159" t="s">
        <v>41</v>
      </c>
      <c r="B159">
        <v>2012</v>
      </c>
      <c r="C159">
        <v>61093</v>
      </c>
      <c r="D159">
        <v>2835</v>
      </c>
      <c r="E159">
        <f t="shared" si="10"/>
        <v>-0.38977333999999997</v>
      </c>
      <c r="F159">
        <v>8192</v>
      </c>
      <c r="G159">
        <f t="shared" si="12"/>
        <v>11276.288</v>
      </c>
      <c r="H159">
        <f t="shared" si="11"/>
        <v>3084.288</v>
      </c>
      <c r="I159" s="4">
        <v>4.6404661745208117E-2</v>
      </c>
      <c r="J159" s="4">
        <v>-6.38E-4</v>
      </c>
      <c r="K159" s="3">
        <v>-4.7609999999999997E-4</v>
      </c>
      <c r="L159" s="3">
        <v>-1.1980000000000001E-3</v>
      </c>
      <c r="M159" s="1">
        <v>0.3765</v>
      </c>
      <c r="N159" s="1">
        <v>1.1207</v>
      </c>
      <c r="O159" s="3"/>
      <c r="P159" s="3"/>
    </row>
    <row r="160" spans="1:16" x14ac:dyDescent="0.3">
      <c r="A160" t="s">
        <v>41</v>
      </c>
      <c r="B160">
        <v>2011</v>
      </c>
      <c r="C160">
        <v>48077</v>
      </c>
      <c r="D160">
        <v>1945</v>
      </c>
      <c r="E160">
        <f t="shared" si="10"/>
        <v>6.3101062500000005</v>
      </c>
      <c r="F160">
        <v>7757</v>
      </c>
      <c r="G160">
        <f t="shared" si="12"/>
        <v>8012.2052999999996</v>
      </c>
      <c r="H160">
        <f t="shared" si="11"/>
        <v>255.20529999999999</v>
      </c>
      <c r="I160" s="4">
        <v>4.0455935270503576E-2</v>
      </c>
      <c r="J160" s="4">
        <v>1.3125E-2</v>
      </c>
      <c r="K160" s="3">
        <v>8.1346000000000005E-3</v>
      </c>
      <c r="L160" s="3">
        <v>2.4961999999999998E-2</v>
      </c>
      <c r="M160" s="1">
        <v>3.2899999999999999E-2</v>
      </c>
      <c r="N160" s="1">
        <v>1.1740999999999999</v>
      </c>
      <c r="O160" s="3"/>
      <c r="P160" s="3"/>
    </row>
    <row r="161" spans="1:16" x14ac:dyDescent="0.3">
      <c r="A161" t="s">
        <v>41</v>
      </c>
      <c r="B161">
        <v>2010</v>
      </c>
      <c r="C161">
        <v>34204</v>
      </c>
      <c r="D161">
        <v>1974</v>
      </c>
      <c r="E161">
        <f t="shared" si="10"/>
        <v>11.5199072</v>
      </c>
      <c r="F161">
        <v>6864</v>
      </c>
      <c r="G161">
        <f t="shared" si="12"/>
        <v>8424.873599999999</v>
      </c>
      <c r="H161">
        <f t="shared" si="11"/>
        <v>1560.8735999999999</v>
      </c>
      <c r="I161" s="4">
        <v>5.7712548239971934E-2</v>
      </c>
      <c r="J161" s="4">
        <v>3.3680000000000002E-2</v>
      </c>
      <c r="K161" s="3">
        <v>1.6783200000000002E-2</v>
      </c>
      <c r="L161" s="3">
        <v>6.1285999999999993E-2</v>
      </c>
      <c r="M161" s="1">
        <v>0.22739999999999999</v>
      </c>
      <c r="N161" s="1">
        <v>1.3253999999999999</v>
      </c>
      <c r="O161" s="3"/>
      <c r="P161" s="3"/>
    </row>
    <row r="162" spans="1:16" x14ac:dyDescent="0.3">
      <c r="A162" t="s">
        <v>41</v>
      </c>
      <c r="B162">
        <v>2009</v>
      </c>
      <c r="C162">
        <v>24509</v>
      </c>
      <c r="D162">
        <v>1507</v>
      </c>
      <c r="E162">
        <f t="shared" si="10"/>
        <v>9.0200472699999992</v>
      </c>
      <c r="F162">
        <v>5257</v>
      </c>
      <c r="G162">
        <f t="shared" si="12"/>
        <v>6312.0798999999997</v>
      </c>
      <c r="H162">
        <f t="shared" si="11"/>
        <v>1055.0799</v>
      </c>
      <c r="I162" s="4">
        <v>6.1487616793830836E-2</v>
      </c>
      <c r="J162" s="4">
        <v>3.6803000000000002E-2</v>
      </c>
      <c r="K162" s="3">
        <v>1.7158099999999999E-2</v>
      </c>
      <c r="L162" s="3">
        <v>6.5300999999999998E-2</v>
      </c>
      <c r="M162" s="1">
        <v>0.20069999999999999</v>
      </c>
      <c r="N162" s="1">
        <v>1.3304</v>
      </c>
      <c r="O162" s="3"/>
      <c r="P162" s="3"/>
    </row>
    <row r="163" spans="1:16" x14ac:dyDescent="0.3">
      <c r="O163" s="1"/>
    </row>
    <row r="164" spans="1:16" x14ac:dyDescent="0.3">
      <c r="O164" s="1"/>
    </row>
    <row r="165" spans="1:16" x14ac:dyDescent="0.3">
      <c r="O165" s="1"/>
    </row>
    <row r="166" spans="1:16" x14ac:dyDescent="0.3">
      <c r="O166" s="1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9EE6-F1F2-46E8-8CBF-A139B760B684}">
  <dimension ref="A1:V162"/>
  <sheetViews>
    <sheetView tabSelected="1" zoomScale="115" zoomScaleNormal="115" workbookViewId="0">
      <selection activeCell="A4" sqref="A4"/>
    </sheetView>
  </sheetViews>
  <sheetFormatPr defaultColWidth="12" defaultRowHeight="14.4" x14ac:dyDescent="0.3"/>
  <cols>
    <col min="1" max="1" width="11.77734375" bestFit="1" customWidth="1"/>
    <col min="2" max="2" width="6.88671875" bestFit="1" customWidth="1"/>
    <col min="3" max="4" width="19.5546875" customWidth="1"/>
    <col min="5" max="5" width="28.77734375" customWidth="1"/>
    <col min="6" max="6" width="37.77734375" customWidth="1"/>
    <col min="7" max="7" width="34.6640625" customWidth="1"/>
    <col min="8" max="8" width="24.5546875" customWidth="1"/>
    <col min="9" max="9" width="17.6640625" customWidth="1"/>
    <col min="10" max="10" width="11.5546875" style="3" customWidth="1"/>
    <col min="11" max="11" width="21.5546875" style="1" customWidth="1"/>
    <col min="13" max="13" width="23.109375" style="1" customWidth="1"/>
    <col min="14" max="15" width="22" customWidth="1"/>
    <col min="17" max="17" width="17.6640625" bestFit="1" customWidth="1"/>
    <col min="18" max="18" width="29.5546875" customWidth="1"/>
    <col min="19" max="19" width="30.109375" style="1" customWidth="1"/>
    <col min="20" max="20" width="25.44140625" style="1" customWidth="1"/>
    <col min="21" max="21" width="18.6640625" style="3" customWidth="1"/>
  </cols>
  <sheetData>
    <row r="1" spans="1:22" x14ac:dyDescent="0.3">
      <c r="A1" t="s">
        <v>1</v>
      </c>
      <c r="B1" t="s">
        <v>0</v>
      </c>
      <c r="C1" t="s">
        <v>64</v>
      </c>
      <c r="D1" t="s">
        <v>51</v>
      </c>
      <c r="E1" t="s">
        <v>53</v>
      </c>
      <c r="F1" t="s">
        <v>55</v>
      </c>
      <c r="G1" t="s">
        <v>56</v>
      </c>
      <c r="H1" t="s">
        <v>57</v>
      </c>
      <c r="I1" t="s">
        <v>63</v>
      </c>
      <c r="J1" s="3" t="s">
        <v>45</v>
      </c>
      <c r="K1" s="1" t="s">
        <v>58</v>
      </c>
      <c r="L1" t="s">
        <v>44</v>
      </c>
      <c r="M1" s="1" t="s">
        <v>59</v>
      </c>
      <c r="N1" t="s">
        <v>60</v>
      </c>
      <c r="O1" t="s">
        <v>61</v>
      </c>
      <c r="P1" t="s">
        <v>62</v>
      </c>
      <c r="Q1" t="s">
        <v>48</v>
      </c>
      <c r="R1" t="s">
        <v>52</v>
      </c>
      <c r="S1" s="1" t="s">
        <v>54</v>
      </c>
      <c r="T1" s="1" t="s">
        <v>49</v>
      </c>
      <c r="U1" s="3" t="s">
        <v>50</v>
      </c>
    </row>
    <row r="2" spans="1:22" x14ac:dyDescent="0.3">
      <c r="A2" t="s">
        <v>22</v>
      </c>
      <c r="B2">
        <v>2022</v>
      </c>
      <c r="C2">
        <v>394328</v>
      </c>
      <c r="D2">
        <v>99803</v>
      </c>
      <c r="E2">
        <v>6.11</v>
      </c>
      <c r="F2">
        <v>122151</v>
      </c>
      <c r="G2">
        <v>-22354</v>
      </c>
      <c r="H2">
        <f>ABS(G2)</f>
        <v>22354</v>
      </c>
      <c r="I2">
        <f>(F2-H2)</f>
        <v>99797</v>
      </c>
      <c r="J2" s="4">
        <v>0.11513749678745824</v>
      </c>
      <c r="K2" s="1">
        <v>99797</v>
      </c>
      <c r="L2" s="1">
        <f>1/(1+0.1)^(MAX($B$2:$B$15)-B2)</f>
        <v>1</v>
      </c>
      <c r="M2" s="1">
        <f>IF(OR(K2="",L2=""),"",ROUND(K2*L2,2))</f>
        <v>99797</v>
      </c>
      <c r="N2">
        <f>IF(K2="","",K2*(1+0.03)/(0.1-0.03))</f>
        <v>1468441.5714285714</v>
      </c>
      <c r="O2">
        <f>IF(OR(N2="",L2=""),"",ROUND(N2*L2,2))</f>
        <v>1468441.57</v>
      </c>
      <c r="P2" s="1">
        <f>SUM(M2:M15)+O2</f>
        <v>1833437.6732015358</v>
      </c>
      <c r="Q2" s="5">
        <v>2066.94</v>
      </c>
      <c r="R2" s="1">
        <f>IFERROR(D2/E2,"")</f>
        <v>16334.369885433714</v>
      </c>
      <c r="S2" s="1">
        <f>P2/R2</f>
        <v>112.24416283339563</v>
      </c>
      <c r="T2" s="1">
        <f>(Q2*1000)/R2</f>
        <v>126.53931645341324</v>
      </c>
      <c r="U2" s="3">
        <f>((S2-T2)/T2)</f>
        <v>-0.11297005563705972</v>
      </c>
      <c r="V2" s="2"/>
    </row>
    <row r="3" spans="1:22" x14ac:dyDescent="0.3">
      <c r="A3" t="s">
        <v>22</v>
      </c>
      <c r="B3">
        <v>2021</v>
      </c>
      <c r="C3">
        <v>365817</v>
      </c>
      <c r="D3">
        <v>94680</v>
      </c>
      <c r="E3">
        <v>5.61</v>
      </c>
      <c r="F3">
        <v>104038</v>
      </c>
      <c r="G3">
        <v>-14545</v>
      </c>
      <c r="H3">
        <f t="shared" ref="H3:H66" si="0">ABS(G3)</f>
        <v>14545</v>
      </c>
      <c r="I3">
        <f t="shared" ref="I3:I66" si="1">(F3-H3)</f>
        <v>89493</v>
      </c>
      <c r="J3" s="4">
        <v>0.17160437258624076</v>
      </c>
      <c r="K3" s="1">
        <f>I3*(1+J2/100)</f>
        <v>89596.040000000008</v>
      </c>
      <c r="L3" s="1">
        <f t="shared" ref="L3:L15" si="2">1/(1+0.1)^(MAX($B$2:$B$15)-B3)</f>
        <v>0.90909090909090906</v>
      </c>
      <c r="M3" s="1">
        <f t="shared" ref="M3:M66" si="3">IF(OR(ISBLANK(K3),ISBLANK(L3)),"",IFERROR(K3*L3,0))</f>
        <v>81450.945454545465</v>
      </c>
      <c r="O3" t="str">
        <f t="shared" ref="O3:O66" si="4">IF(OR(N3="",L3=""),"",ROUND(N3*L3,2))</f>
        <v/>
      </c>
      <c r="R3" s="1">
        <f t="shared" ref="R3:R66" si="5">IFERROR(D3/E3,"")</f>
        <v>16877.005347593582</v>
      </c>
    </row>
    <row r="4" spans="1:22" x14ac:dyDescent="0.3">
      <c r="A4" t="s">
        <v>22</v>
      </c>
      <c r="B4">
        <v>2020</v>
      </c>
      <c r="C4">
        <v>274515</v>
      </c>
      <c r="D4">
        <v>57411</v>
      </c>
      <c r="E4">
        <v>3.28</v>
      </c>
      <c r="F4">
        <v>80674</v>
      </c>
      <c r="G4">
        <v>-4289</v>
      </c>
      <c r="H4">
        <f t="shared" si="0"/>
        <v>4289</v>
      </c>
      <c r="I4">
        <f t="shared" si="1"/>
        <v>76385</v>
      </c>
      <c r="J4" s="4">
        <v>2.2511172589912749</v>
      </c>
      <c r="K4" s="1">
        <f t="shared" ref="K4:K15" si="6">I4*(1+J3/100)</f>
        <v>76516.079999999987</v>
      </c>
      <c r="L4" s="1">
        <f t="shared" si="2"/>
        <v>0.82644628099173545</v>
      </c>
      <c r="M4" s="1">
        <f t="shared" si="3"/>
        <v>63236.429752066098</v>
      </c>
      <c r="O4" t="str">
        <f t="shared" si="4"/>
        <v/>
      </c>
      <c r="R4" s="1">
        <f t="shared" si="5"/>
        <v>17503.353658536587</v>
      </c>
    </row>
    <row r="5" spans="1:22" x14ac:dyDescent="0.3">
      <c r="A5" t="s">
        <v>22</v>
      </c>
      <c r="B5">
        <v>2019</v>
      </c>
      <c r="C5">
        <v>260174</v>
      </c>
      <c r="D5">
        <v>55256</v>
      </c>
      <c r="E5">
        <v>2.97</v>
      </c>
      <c r="F5">
        <v>69391</v>
      </c>
      <c r="G5">
        <v>45896</v>
      </c>
      <c r="H5">
        <f t="shared" si="0"/>
        <v>45896</v>
      </c>
      <c r="I5">
        <f t="shared" si="1"/>
        <v>23495</v>
      </c>
      <c r="J5" s="4">
        <v>-0.61714574371007691</v>
      </c>
      <c r="K5" s="1">
        <f t="shared" si="6"/>
        <v>24023.9</v>
      </c>
      <c r="L5" s="1">
        <f t="shared" si="2"/>
        <v>0.75131480090157754</v>
      </c>
      <c r="M5" s="1">
        <f t="shared" si="3"/>
        <v>18049.511645379411</v>
      </c>
      <c r="O5" t="str">
        <f t="shared" si="4"/>
        <v/>
      </c>
      <c r="R5" s="1">
        <f t="shared" si="5"/>
        <v>18604.713804713803</v>
      </c>
    </row>
    <row r="6" spans="1:22" x14ac:dyDescent="0.3">
      <c r="A6" t="s">
        <v>22</v>
      </c>
      <c r="B6">
        <v>2018</v>
      </c>
      <c r="C6">
        <v>265595</v>
      </c>
      <c r="D6">
        <v>59531</v>
      </c>
      <c r="E6">
        <v>2.98</v>
      </c>
      <c r="F6">
        <v>77434</v>
      </c>
      <c r="G6">
        <v>16066</v>
      </c>
      <c r="H6">
        <f t="shared" si="0"/>
        <v>16066</v>
      </c>
      <c r="I6">
        <f t="shared" si="1"/>
        <v>61368</v>
      </c>
      <c r="J6" s="4">
        <v>2.4517126947522359</v>
      </c>
      <c r="K6" s="1">
        <f t="shared" si="6"/>
        <v>60989.27</v>
      </c>
      <c r="L6" s="1">
        <f t="shared" si="2"/>
        <v>0.68301345536507052</v>
      </c>
      <c r="M6" s="1">
        <f t="shared" si="3"/>
        <v>41656.492042893231</v>
      </c>
      <c r="O6" t="str">
        <f t="shared" si="4"/>
        <v/>
      </c>
      <c r="R6" s="1">
        <f t="shared" si="5"/>
        <v>19976.845637583894</v>
      </c>
    </row>
    <row r="7" spans="1:22" x14ac:dyDescent="0.3">
      <c r="A7" t="s">
        <v>22</v>
      </c>
      <c r="B7">
        <v>2017</v>
      </c>
      <c r="C7">
        <v>229234</v>
      </c>
      <c r="D7">
        <v>48351</v>
      </c>
      <c r="E7">
        <v>2.3025000000000002</v>
      </c>
      <c r="F7">
        <v>64225</v>
      </c>
      <c r="G7">
        <v>-46446</v>
      </c>
      <c r="H7">
        <f t="shared" si="0"/>
        <v>46446</v>
      </c>
      <c r="I7">
        <f t="shared" si="1"/>
        <v>17779</v>
      </c>
      <c r="J7" s="4">
        <v>-0.12219808432902143</v>
      </c>
      <c r="K7" s="1">
        <f t="shared" si="6"/>
        <v>18214.89</v>
      </c>
      <c r="L7" s="1">
        <f t="shared" si="2"/>
        <v>0.62092132305915493</v>
      </c>
      <c r="M7" s="1">
        <f t="shared" si="3"/>
        <v>11310.013598176971</v>
      </c>
      <c r="O7" t="str">
        <f t="shared" si="4"/>
        <v/>
      </c>
      <c r="R7" s="1">
        <f t="shared" si="5"/>
        <v>20999.348534201952</v>
      </c>
    </row>
    <row r="8" spans="1:22" x14ac:dyDescent="0.3">
      <c r="A8" t="s">
        <v>22</v>
      </c>
      <c r="B8">
        <v>2016</v>
      </c>
      <c r="C8">
        <v>215639</v>
      </c>
      <c r="D8">
        <v>45687</v>
      </c>
      <c r="E8">
        <v>2.0775000000000001</v>
      </c>
      <c r="F8">
        <v>66231</v>
      </c>
      <c r="G8">
        <v>-45977</v>
      </c>
      <c r="H8">
        <f t="shared" si="0"/>
        <v>45977</v>
      </c>
      <c r="I8">
        <f t="shared" si="1"/>
        <v>20254</v>
      </c>
      <c r="J8" s="4">
        <v>-0.18958066581306018</v>
      </c>
      <c r="K8" s="1">
        <f t="shared" si="6"/>
        <v>20229.25</v>
      </c>
      <c r="L8" s="1">
        <f t="shared" si="2"/>
        <v>0.56447393005377722</v>
      </c>
      <c r="M8" s="1">
        <f t="shared" si="3"/>
        <v>11418.884249540373</v>
      </c>
      <c r="O8" t="str">
        <f t="shared" si="4"/>
        <v/>
      </c>
      <c r="R8" s="1">
        <f t="shared" si="5"/>
        <v>21991.335740072202</v>
      </c>
    </row>
    <row r="9" spans="1:22" x14ac:dyDescent="0.3">
      <c r="A9" t="s">
        <v>22</v>
      </c>
      <c r="B9">
        <v>2015</v>
      </c>
      <c r="C9">
        <v>233715</v>
      </c>
      <c r="D9">
        <v>53394</v>
      </c>
      <c r="E9">
        <v>2.3050000000000002</v>
      </c>
      <c r="F9">
        <v>81266</v>
      </c>
      <c r="G9">
        <v>-56274</v>
      </c>
      <c r="H9">
        <f t="shared" si="0"/>
        <v>56274</v>
      </c>
      <c r="I9">
        <f t="shared" si="1"/>
        <v>24992</v>
      </c>
      <c r="J9" s="4">
        <v>-0.32697797167016751</v>
      </c>
      <c r="K9" s="1">
        <f t="shared" si="6"/>
        <v>24944.62</v>
      </c>
      <c r="L9" s="1">
        <f t="shared" si="2"/>
        <v>0.51315811823070645</v>
      </c>
      <c r="M9" s="1">
        <f t="shared" si="3"/>
        <v>12800.534259180044</v>
      </c>
      <c r="O9" t="str">
        <f t="shared" si="4"/>
        <v/>
      </c>
      <c r="R9" s="1">
        <f t="shared" si="5"/>
        <v>23164.425162689804</v>
      </c>
    </row>
    <row r="10" spans="1:22" x14ac:dyDescent="0.3">
      <c r="A10" t="s">
        <v>22</v>
      </c>
      <c r="B10">
        <v>2014</v>
      </c>
      <c r="C10">
        <v>182795</v>
      </c>
      <c r="D10">
        <v>39510</v>
      </c>
      <c r="E10">
        <v>1.6125</v>
      </c>
      <c r="F10">
        <v>59713</v>
      </c>
      <c r="G10">
        <v>-22579</v>
      </c>
      <c r="H10">
        <f t="shared" si="0"/>
        <v>22579</v>
      </c>
      <c r="I10">
        <f t="shared" si="1"/>
        <v>37134</v>
      </c>
      <c r="J10" s="4">
        <v>0.86678061532274286</v>
      </c>
      <c r="K10" s="1">
        <f t="shared" si="6"/>
        <v>37012.579999999994</v>
      </c>
      <c r="L10" s="1">
        <f t="shared" si="2"/>
        <v>0.46650738020973315</v>
      </c>
      <c r="M10" s="1">
        <f t="shared" si="3"/>
        <v>17266.641730603162</v>
      </c>
      <c r="O10" t="str">
        <f t="shared" si="4"/>
        <v/>
      </c>
      <c r="R10" s="1">
        <f t="shared" si="5"/>
        <v>24502.325581395347</v>
      </c>
    </row>
    <row r="11" spans="1:22" x14ac:dyDescent="0.3">
      <c r="A11" t="s">
        <v>22</v>
      </c>
      <c r="B11">
        <v>2013</v>
      </c>
      <c r="C11">
        <v>170910</v>
      </c>
      <c r="D11">
        <v>37037</v>
      </c>
      <c r="E11">
        <v>1.42</v>
      </c>
      <c r="F11">
        <v>53666</v>
      </c>
      <c r="G11">
        <v>-33774</v>
      </c>
      <c r="H11">
        <f t="shared" si="0"/>
        <v>33774</v>
      </c>
      <c r="I11">
        <f t="shared" si="1"/>
        <v>19892</v>
      </c>
      <c r="J11" s="4">
        <v>6.5663750475465967</v>
      </c>
      <c r="K11" s="1">
        <f t="shared" si="6"/>
        <v>20064.420000000002</v>
      </c>
      <c r="L11" s="1">
        <f t="shared" si="2"/>
        <v>0.42409761837248466</v>
      </c>
      <c r="M11" s="1">
        <f t="shared" si="3"/>
        <v>8509.2727360252502</v>
      </c>
      <c r="O11" t="str">
        <f t="shared" si="4"/>
        <v/>
      </c>
      <c r="R11" s="1">
        <f t="shared" si="5"/>
        <v>26082.394366197186</v>
      </c>
    </row>
    <row r="12" spans="1:22" x14ac:dyDescent="0.3">
      <c r="A12" t="s">
        <v>22</v>
      </c>
      <c r="B12">
        <v>2012</v>
      </c>
      <c r="C12">
        <v>156508</v>
      </c>
      <c r="D12">
        <v>41733</v>
      </c>
      <c r="E12">
        <v>1.5774999999999999</v>
      </c>
      <c r="F12">
        <v>50856</v>
      </c>
      <c r="G12">
        <v>-48227</v>
      </c>
      <c r="H12">
        <f t="shared" si="0"/>
        <v>48227</v>
      </c>
      <c r="I12">
        <f t="shared" si="1"/>
        <v>2629</v>
      </c>
      <c r="J12" s="4">
        <v>-1.909688581314879</v>
      </c>
      <c r="K12" s="1">
        <f t="shared" si="6"/>
        <v>2801.63</v>
      </c>
      <c r="L12" s="1">
        <f t="shared" si="2"/>
        <v>0.38554328942953148</v>
      </c>
      <c r="M12" s="1">
        <f t="shared" si="3"/>
        <v>1080.1496459644584</v>
      </c>
      <c r="O12" t="str">
        <f t="shared" si="4"/>
        <v/>
      </c>
      <c r="R12" s="1">
        <f t="shared" si="5"/>
        <v>26455.150554675121</v>
      </c>
    </row>
    <row r="13" spans="1:22" x14ac:dyDescent="0.3">
      <c r="A13" t="s">
        <v>22</v>
      </c>
      <c r="B13">
        <v>2011</v>
      </c>
      <c r="C13">
        <v>108249</v>
      </c>
      <c r="D13">
        <v>25922</v>
      </c>
      <c r="E13">
        <v>0.98860000000000003</v>
      </c>
      <c r="F13">
        <v>37529</v>
      </c>
      <c r="G13">
        <v>-40419</v>
      </c>
      <c r="H13">
        <f t="shared" si="0"/>
        <v>40419</v>
      </c>
      <c r="I13">
        <f t="shared" si="1"/>
        <v>-2890</v>
      </c>
      <c r="J13" s="4">
        <v>-1.6095760388103775</v>
      </c>
      <c r="K13" s="1">
        <f t="shared" si="6"/>
        <v>-2834.81</v>
      </c>
      <c r="L13" s="1">
        <f t="shared" si="2"/>
        <v>0.3504938994813922</v>
      </c>
      <c r="M13" s="1">
        <f t="shared" si="3"/>
        <v>-993.58361118884545</v>
      </c>
      <c r="O13" t="str">
        <f t="shared" si="4"/>
        <v/>
      </c>
      <c r="R13" s="1">
        <f t="shared" si="5"/>
        <v>26220.918470564433</v>
      </c>
    </row>
    <row r="14" spans="1:22" x14ac:dyDescent="0.3">
      <c r="A14" t="s">
        <v>22</v>
      </c>
      <c r="B14">
        <v>2010</v>
      </c>
      <c r="C14">
        <v>65225</v>
      </c>
      <c r="D14">
        <v>14013</v>
      </c>
      <c r="E14">
        <v>0.54110000000000003</v>
      </c>
      <c r="F14">
        <v>18595</v>
      </c>
      <c r="G14">
        <v>-13854</v>
      </c>
      <c r="H14">
        <f t="shared" si="0"/>
        <v>13854</v>
      </c>
      <c r="I14">
        <f t="shared" si="1"/>
        <v>4741</v>
      </c>
      <c r="J14" s="4">
        <v>-1.6516838487972509</v>
      </c>
      <c r="K14" s="1">
        <f t="shared" si="6"/>
        <v>4664.6899999999996</v>
      </c>
      <c r="L14" s="1">
        <f t="shared" si="2"/>
        <v>0.31863081771035656</v>
      </c>
      <c r="M14" s="1">
        <f t="shared" si="3"/>
        <v>1486.3139890653231</v>
      </c>
      <c r="O14" t="str">
        <f t="shared" si="4"/>
        <v/>
      </c>
      <c r="P14" t="str">
        <f t="shared" ref="P14" si="7">IF(OR(SUM(M14:M27)=0,O14=""),"",ROUND(SUM(M14:M27)+O14,2))</f>
        <v/>
      </c>
      <c r="R14" s="1">
        <f t="shared" si="5"/>
        <v>25897.246350027719</v>
      </c>
    </row>
    <row r="15" spans="1:22" x14ac:dyDescent="0.3">
      <c r="A15" t="s">
        <v>22</v>
      </c>
      <c r="B15">
        <v>2009</v>
      </c>
      <c r="C15">
        <v>42905</v>
      </c>
      <c r="D15">
        <v>8235</v>
      </c>
      <c r="E15">
        <v>0.32429999999999998</v>
      </c>
      <c r="F15">
        <v>10159</v>
      </c>
      <c r="G15">
        <v>-17434</v>
      </c>
      <c r="H15">
        <f t="shared" si="0"/>
        <v>17434</v>
      </c>
      <c r="I15">
        <f t="shared" si="1"/>
        <v>-7275</v>
      </c>
      <c r="J15" s="4" t="s">
        <v>46</v>
      </c>
      <c r="K15" s="1">
        <f t="shared" si="6"/>
        <v>-7154.84</v>
      </c>
      <c r="L15" s="1">
        <f t="shared" si="2"/>
        <v>0.28966437973668779</v>
      </c>
      <c r="M15" s="1">
        <f t="shared" si="3"/>
        <v>-2072.5022907152434</v>
      </c>
      <c r="O15" t="str">
        <f t="shared" si="4"/>
        <v/>
      </c>
      <c r="P15" t="str">
        <f>IF(OR(SUM(M2:M15)=0,O15=""),"",ROUND(SUM(M2:M15)+O15,2))</f>
        <v/>
      </c>
      <c r="R15" s="1">
        <f t="shared" si="5"/>
        <v>25393.154486586496</v>
      </c>
    </row>
    <row r="16" spans="1:22" x14ac:dyDescent="0.3">
      <c r="A16" t="s">
        <v>24</v>
      </c>
      <c r="B16">
        <v>2023</v>
      </c>
      <c r="C16">
        <v>211915</v>
      </c>
      <c r="D16">
        <v>72361</v>
      </c>
      <c r="E16">
        <v>9.68</v>
      </c>
      <c r="F16">
        <v>87582</v>
      </c>
      <c r="G16">
        <v>-22680</v>
      </c>
      <c r="H16">
        <f t="shared" si="0"/>
        <v>22680</v>
      </c>
      <c r="I16">
        <f t="shared" si="1"/>
        <v>64902</v>
      </c>
      <c r="J16" s="4">
        <v>0.10520400517675908</v>
      </c>
      <c r="K16" s="1">
        <v>64902</v>
      </c>
      <c r="L16" s="1">
        <f>1/(1+0.1)^(MAX($B$16:$B$30)-B16)</f>
        <v>1</v>
      </c>
      <c r="M16" s="1">
        <f t="shared" si="3"/>
        <v>64902</v>
      </c>
      <c r="N16" s="1">
        <f>IF(K16="","",K16*(1+0.03)/(0.1-0.03))</f>
        <v>954986.57142857136</v>
      </c>
      <c r="O16">
        <f t="shared" si="4"/>
        <v>954986.57</v>
      </c>
      <c r="P16" s="1">
        <f>SUM(M16:M30)+O16</f>
        <v>1221507.3603402749</v>
      </c>
      <c r="Q16" s="5">
        <v>2451.23</v>
      </c>
      <c r="R16" s="1">
        <f t="shared" si="5"/>
        <v>7475.3099173553719</v>
      </c>
      <c r="S16" s="1">
        <f>P16/R16</f>
        <v>163.40558101869598</v>
      </c>
      <c r="T16" s="1">
        <f>(Q16*1000)/R16</f>
        <v>327.91015049543262</v>
      </c>
      <c r="U16" s="3">
        <f>((S16-T16)/T16)</f>
        <v>-0.50167574632316236</v>
      </c>
    </row>
    <row r="17" spans="1:21" x14ac:dyDescent="0.3">
      <c r="A17" t="s">
        <v>24</v>
      </c>
      <c r="B17">
        <v>2022</v>
      </c>
      <c r="C17">
        <v>198270</v>
      </c>
      <c r="D17">
        <v>72738</v>
      </c>
      <c r="E17">
        <v>9.65</v>
      </c>
      <c r="F17">
        <v>89035</v>
      </c>
      <c r="G17">
        <v>-30311</v>
      </c>
      <c r="H17">
        <f t="shared" si="0"/>
        <v>30311</v>
      </c>
      <c r="I17">
        <f t="shared" si="1"/>
        <v>58724</v>
      </c>
      <c r="J17" s="4">
        <v>0.19447552020828671</v>
      </c>
      <c r="K17" s="1">
        <f>I17*(1+J16/100)</f>
        <v>58785.78</v>
      </c>
      <c r="L17" s="1">
        <f t="shared" ref="L17:L30" si="8">1/(1+0.1)^(MAX($B$16:$B$30)-B17)</f>
        <v>0.90909090909090906</v>
      </c>
      <c r="M17" s="1">
        <f t="shared" si="3"/>
        <v>53441.618181818179</v>
      </c>
      <c r="O17" t="str">
        <f t="shared" si="4"/>
        <v/>
      </c>
      <c r="R17" s="1">
        <f t="shared" si="5"/>
        <v>7537.6165803108806</v>
      </c>
    </row>
    <row r="18" spans="1:21" x14ac:dyDescent="0.3">
      <c r="A18" t="s">
        <v>24</v>
      </c>
      <c r="B18">
        <v>2021</v>
      </c>
      <c r="C18">
        <v>168088</v>
      </c>
      <c r="D18">
        <v>61271</v>
      </c>
      <c r="E18">
        <v>8.0500000000000007</v>
      </c>
      <c r="F18">
        <v>76740</v>
      </c>
      <c r="G18">
        <v>-27577</v>
      </c>
      <c r="H18">
        <f t="shared" si="0"/>
        <v>27577</v>
      </c>
      <c r="I18">
        <f t="shared" si="1"/>
        <v>49163</v>
      </c>
      <c r="J18" s="4">
        <v>1.4674316849665647E-2</v>
      </c>
      <c r="K18" s="1">
        <f t="shared" ref="K18:K30" si="9">I18*(1+J17/100)</f>
        <v>49258.61</v>
      </c>
      <c r="L18" s="1">
        <f t="shared" si="8"/>
        <v>0.82644628099173545</v>
      </c>
      <c r="M18" s="1">
        <f t="shared" si="3"/>
        <v>40709.595041322311</v>
      </c>
      <c r="O18" t="str">
        <f t="shared" si="4"/>
        <v/>
      </c>
      <c r="R18" s="1">
        <f t="shared" si="5"/>
        <v>7611.3043478260861</v>
      </c>
    </row>
    <row r="19" spans="1:21" x14ac:dyDescent="0.3">
      <c r="A19" t="s">
        <v>24</v>
      </c>
      <c r="B19">
        <v>2020</v>
      </c>
      <c r="C19">
        <v>143015</v>
      </c>
      <c r="D19">
        <v>44281</v>
      </c>
      <c r="E19">
        <v>5.76</v>
      </c>
      <c r="F19">
        <v>60675</v>
      </c>
      <c r="G19">
        <v>-12223</v>
      </c>
      <c r="H19">
        <f t="shared" si="0"/>
        <v>12223</v>
      </c>
      <c r="I19">
        <f t="shared" si="1"/>
        <v>48452</v>
      </c>
      <c r="J19" s="4">
        <v>0.33066022190486655</v>
      </c>
      <c r="K19" s="1">
        <f t="shared" si="9"/>
        <v>48459.11</v>
      </c>
      <c r="L19" s="1">
        <f t="shared" si="8"/>
        <v>0.75131480090157754</v>
      </c>
      <c r="M19" s="1">
        <f t="shared" si="3"/>
        <v>36408.046581517643</v>
      </c>
      <c r="O19" t="str">
        <f t="shared" si="4"/>
        <v/>
      </c>
      <c r="R19" s="1">
        <f t="shared" si="5"/>
        <v>7687.6736111111113</v>
      </c>
    </row>
    <row r="20" spans="1:21" x14ac:dyDescent="0.3">
      <c r="A20" t="s">
        <v>24</v>
      </c>
      <c r="B20">
        <v>2019</v>
      </c>
      <c r="C20">
        <v>125843</v>
      </c>
      <c r="D20">
        <v>39240</v>
      </c>
      <c r="E20">
        <v>5.0599999999999996</v>
      </c>
      <c r="F20">
        <v>52185</v>
      </c>
      <c r="G20">
        <v>-15773</v>
      </c>
      <c r="H20">
        <f t="shared" si="0"/>
        <v>15773</v>
      </c>
      <c r="I20">
        <f t="shared" si="1"/>
        <v>36412</v>
      </c>
      <c r="J20" s="4">
        <v>-3.7305343309626419E-2</v>
      </c>
      <c r="K20" s="1">
        <f t="shared" si="9"/>
        <v>36532.400000000001</v>
      </c>
      <c r="L20" s="1">
        <f t="shared" si="8"/>
        <v>0.68301345536507052</v>
      </c>
      <c r="M20" s="1">
        <f t="shared" si="3"/>
        <v>24952.120756778902</v>
      </c>
      <c r="O20" t="str">
        <f t="shared" si="4"/>
        <v/>
      </c>
      <c r="R20" s="1">
        <f t="shared" si="5"/>
        <v>7754.940711462451</v>
      </c>
    </row>
    <row r="21" spans="1:21" x14ac:dyDescent="0.3">
      <c r="A21" t="s">
        <v>24</v>
      </c>
      <c r="B21">
        <v>2018</v>
      </c>
      <c r="C21">
        <v>110360</v>
      </c>
      <c r="D21">
        <v>16571</v>
      </c>
      <c r="E21">
        <v>2.13</v>
      </c>
      <c r="F21">
        <v>43884</v>
      </c>
      <c r="G21">
        <v>-6061</v>
      </c>
      <c r="H21">
        <f t="shared" si="0"/>
        <v>6061</v>
      </c>
      <c r="I21">
        <f t="shared" si="1"/>
        <v>37823</v>
      </c>
      <c r="J21" s="4">
        <v>-6.1997525433049212</v>
      </c>
      <c r="K21" s="1">
        <f t="shared" si="9"/>
        <v>37808.89</v>
      </c>
      <c r="L21" s="1">
        <f t="shared" si="8"/>
        <v>0.62092132305915493</v>
      </c>
      <c r="M21" s="1">
        <f t="shared" si="3"/>
        <v>23476.346002198054</v>
      </c>
      <c r="O21" t="str">
        <f t="shared" si="4"/>
        <v/>
      </c>
      <c r="R21" s="1">
        <f t="shared" si="5"/>
        <v>7779.8122065727703</v>
      </c>
    </row>
    <row r="22" spans="1:21" x14ac:dyDescent="0.3">
      <c r="A22" t="s">
        <v>24</v>
      </c>
      <c r="B22">
        <v>2017</v>
      </c>
      <c r="C22">
        <v>96571</v>
      </c>
      <c r="D22">
        <v>25489</v>
      </c>
      <c r="E22">
        <v>3.25</v>
      </c>
      <c r="F22">
        <v>39507</v>
      </c>
      <c r="G22">
        <v>-46781</v>
      </c>
      <c r="H22">
        <f t="shared" si="0"/>
        <v>46781</v>
      </c>
      <c r="I22">
        <f t="shared" si="1"/>
        <v>-7274</v>
      </c>
      <c r="J22" s="4">
        <v>-1.7758933333333333</v>
      </c>
      <c r="K22" s="1">
        <f t="shared" si="9"/>
        <v>-6823.03</v>
      </c>
      <c r="L22" s="1">
        <f t="shared" si="8"/>
        <v>0.56447393005377722</v>
      </c>
      <c r="M22" s="1">
        <f t="shared" si="3"/>
        <v>-3851.4225589748235</v>
      </c>
      <c r="O22" t="str">
        <f t="shared" si="4"/>
        <v/>
      </c>
      <c r="R22" s="1">
        <f t="shared" si="5"/>
        <v>7842.7692307692305</v>
      </c>
    </row>
    <row r="23" spans="1:21" x14ac:dyDescent="0.3">
      <c r="A23" t="s">
        <v>24</v>
      </c>
      <c r="B23">
        <v>2016</v>
      </c>
      <c r="C23">
        <v>91154</v>
      </c>
      <c r="D23">
        <v>20539</v>
      </c>
      <c r="E23">
        <v>2.56</v>
      </c>
      <c r="F23">
        <v>33325</v>
      </c>
      <c r="G23">
        <v>-23950</v>
      </c>
      <c r="H23">
        <f t="shared" si="0"/>
        <v>23950</v>
      </c>
      <c r="I23">
        <f t="shared" si="1"/>
        <v>9375</v>
      </c>
      <c r="J23" s="4">
        <v>0.40617969101544921</v>
      </c>
      <c r="K23" s="1">
        <f t="shared" si="9"/>
        <v>9208.51</v>
      </c>
      <c r="L23" s="1">
        <f t="shared" si="8"/>
        <v>0.51315811823070645</v>
      </c>
      <c r="M23" s="1">
        <f t="shared" si="3"/>
        <v>4725.4216633086426</v>
      </c>
      <c r="O23" t="str">
        <f t="shared" si="4"/>
        <v/>
      </c>
      <c r="R23" s="1">
        <f t="shared" si="5"/>
        <v>8023.046875</v>
      </c>
    </row>
    <row r="24" spans="1:21" x14ac:dyDescent="0.3">
      <c r="A24" t="s">
        <v>24</v>
      </c>
      <c r="B24">
        <v>2015</v>
      </c>
      <c r="C24">
        <v>93580</v>
      </c>
      <c r="D24">
        <v>12193</v>
      </c>
      <c r="E24">
        <v>1.48</v>
      </c>
      <c r="F24">
        <v>29668</v>
      </c>
      <c r="G24">
        <v>-23001</v>
      </c>
      <c r="H24">
        <f t="shared" si="0"/>
        <v>23001</v>
      </c>
      <c r="I24">
        <f t="shared" si="1"/>
        <v>6667</v>
      </c>
      <c r="J24" s="4">
        <v>-0.5122540054137098</v>
      </c>
      <c r="K24" s="1">
        <f t="shared" si="9"/>
        <v>6694.079999999999</v>
      </c>
      <c r="L24" s="1">
        <f t="shared" si="8"/>
        <v>0.46650738020973315</v>
      </c>
      <c r="M24" s="1">
        <f t="shared" si="3"/>
        <v>3122.83772371437</v>
      </c>
      <c r="O24" t="str">
        <f t="shared" si="4"/>
        <v/>
      </c>
      <c r="R24" s="1">
        <f t="shared" si="5"/>
        <v>8238.5135135135133</v>
      </c>
    </row>
    <row r="25" spans="1:21" x14ac:dyDescent="0.3">
      <c r="A25" t="s">
        <v>24</v>
      </c>
      <c r="B25">
        <v>2014</v>
      </c>
      <c r="C25">
        <v>86833</v>
      </c>
      <c r="D25">
        <v>22074</v>
      </c>
      <c r="E25">
        <v>2.63</v>
      </c>
      <c r="F25">
        <v>32502</v>
      </c>
      <c r="G25">
        <v>-18833</v>
      </c>
      <c r="H25">
        <f t="shared" si="0"/>
        <v>18833</v>
      </c>
      <c r="I25">
        <f t="shared" si="1"/>
        <v>13669</v>
      </c>
      <c r="J25" s="4">
        <v>1.7218239745121466</v>
      </c>
      <c r="K25" s="1">
        <f t="shared" si="9"/>
        <v>13598.98</v>
      </c>
      <c r="L25" s="1">
        <f t="shared" si="8"/>
        <v>0.42409761837248466</v>
      </c>
      <c r="M25" s="1">
        <f t="shared" si="3"/>
        <v>5767.2950302950512</v>
      </c>
      <c r="O25" t="str">
        <f t="shared" si="4"/>
        <v/>
      </c>
      <c r="R25" s="1">
        <f t="shared" si="5"/>
        <v>8393.1558935361227</v>
      </c>
    </row>
    <row r="26" spans="1:21" x14ac:dyDescent="0.3">
      <c r="A26" t="s">
        <v>24</v>
      </c>
      <c r="B26">
        <v>2013</v>
      </c>
      <c r="C26">
        <v>77849</v>
      </c>
      <c r="D26">
        <v>21863</v>
      </c>
      <c r="E26">
        <v>2.58</v>
      </c>
      <c r="F26">
        <v>28833</v>
      </c>
      <c r="G26">
        <v>-23811</v>
      </c>
      <c r="H26">
        <f t="shared" si="0"/>
        <v>23811</v>
      </c>
      <c r="I26">
        <f t="shared" si="1"/>
        <v>5022</v>
      </c>
      <c r="J26" s="4">
        <v>-0.26578947368421052</v>
      </c>
      <c r="K26" s="1">
        <f t="shared" si="9"/>
        <v>5108.47</v>
      </c>
      <c r="L26" s="1">
        <f t="shared" si="8"/>
        <v>0.38554328942953148</v>
      </c>
      <c r="M26" s="1">
        <f t="shared" si="3"/>
        <v>1969.5363277520787</v>
      </c>
      <c r="O26" t="str">
        <f t="shared" si="4"/>
        <v/>
      </c>
      <c r="R26" s="1">
        <f t="shared" si="5"/>
        <v>8474.0310077519371</v>
      </c>
    </row>
    <row r="27" spans="1:21" x14ac:dyDescent="0.3">
      <c r="A27" t="s">
        <v>24</v>
      </c>
      <c r="B27">
        <v>2012</v>
      </c>
      <c r="C27">
        <v>73723</v>
      </c>
      <c r="D27">
        <v>16978</v>
      </c>
      <c r="E27">
        <v>2</v>
      </c>
      <c r="F27">
        <v>31626</v>
      </c>
      <c r="G27">
        <v>-24786</v>
      </c>
      <c r="H27">
        <f t="shared" si="0"/>
        <v>24786</v>
      </c>
      <c r="I27">
        <f t="shared" si="1"/>
        <v>6840</v>
      </c>
      <c r="J27" s="4">
        <v>-0.44740668928744548</v>
      </c>
      <c r="K27" s="1">
        <f t="shared" si="9"/>
        <v>6821.82</v>
      </c>
      <c r="L27" s="1">
        <f t="shared" si="8"/>
        <v>0.3504938994813922</v>
      </c>
      <c r="M27" s="1">
        <f t="shared" si="3"/>
        <v>2391.0062933601507</v>
      </c>
      <c r="O27" t="str">
        <f t="shared" si="4"/>
        <v/>
      </c>
      <c r="R27" s="1">
        <f t="shared" si="5"/>
        <v>8489</v>
      </c>
    </row>
    <row r="28" spans="1:21" x14ac:dyDescent="0.3">
      <c r="A28" t="s">
        <v>24</v>
      </c>
      <c r="B28">
        <v>2011</v>
      </c>
      <c r="C28">
        <v>69943</v>
      </c>
      <c r="D28">
        <v>23150</v>
      </c>
      <c r="E28">
        <v>2.69</v>
      </c>
      <c r="F28">
        <v>26994</v>
      </c>
      <c r="G28">
        <v>-14616</v>
      </c>
      <c r="H28">
        <f t="shared" si="0"/>
        <v>14616</v>
      </c>
      <c r="I28">
        <f t="shared" si="1"/>
        <v>12378</v>
      </c>
      <c r="J28" s="4">
        <v>-2.9861274394545029E-2</v>
      </c>
      <c r="K28" s="1">
        <f t="shared" si="9"/>
        <v>12322.62</v>
      </c>
      <c r="L28" s="1">
        <f t="shared" si="8"/>
        <v>0.31863081771035656</v>
      </c>
      <c r="M28" s="1">
        <f t="shared" si="3"/>
        <v>3926.3664869339941</v>
      </c>
      <c r="O28" t="str">
        <f t="shared" si="4"/>
        <v/>
      </c>
      <c r="R28" s="1">
        <f t="shared" si="5"/>
        <v>8605.9479553903348</v>
      </c>
    </row>
    <row r="29" spans="1:21" x14ac:dyDescent="0.3">
      <c r="A29" t="s">
        <v>24</v>
      </c>
      <c r="B29">
        <v>2010</v>
      </c>
      <c r="C29">
        <v>62484</v>
      </c>
      <c r="D29">
        <v>18760</v>
      </c>
      <c r="E29">
        <v>2.1</v>
      </c>
      <c r="F29">
        <v>24073</v>
      </c>
      <c r="G29">
        <v>-11314</v>
      </c>
      <c r="H29">
        <f t="shared" si="0"/>
        <v>11314</v>
      </c>
      <c r="I29">
        <f t="shared" si="1"/>
        <v>12759</v>
      </c>
      <c r="J29" s="4">
        <v>2.9054178145087235</v>
      </c>
      <c r="K29" s="1">
        <f t="shared" si="9"/>
        <v>12755.189999999999</v>
      </c>
      <c r="L29" s="1">
        <f t="shared" si="8"/>
        <v>0.28966437973668779</v>
      </c>
      <c r="M29" s="1">
        <f t="shared" si="3"/>
        <v>3694.7241997736023</v>
      </c>
      <c r="O29" t="str">
        <f t="shared" si="4"/>
        <v/>
      </c>
      <c r="R29" s="1">
        <f t="shared" si="5"/>
        <v>8933.3333333333321</v>
      </c>
    </row>
    <row r="30" spans="1:21" x14ac:dyDescent="0.3">
      <c r="A30" t="s">
        <v>24</v>
      </c>
      <c r="B30">
        <v>2009</v>
      </c>
      <c r="C30">
        <v>58437</v>
      </c>
      <c r="D30">
        <v>14569</v>
      </c>
      <c r="E30">
        <v>1.62</v>
      </c>
      <c r="F30">
        <v>19037</v>
      </c>
      <c r="G30">
        <v>-15770</v>
      </c>
      <c r="H30">
        <f t="shared" si="0"/>
        <v>15770</v>
      </c>
      <c r="I30">
        <f>(F30-H30)</f>
        <v>3267</v>
      </c>
      <c r="J30" s="4">
        <f>IF(OR(I30="",I29=""),"",ROUND((I30-I29)/ABS(I29),4))</f>
        <v>-0.74390000000000001</v>
      </c>
      <c r="K30" s="1">
        <f t="shared" si="9"/>
        <v>3361.92</v>
      </c>
      <c r="L30" s="1">
        <f t="shared" si="8"/>
        <v>0.26333125430607973</v>
      </c>
      <c r="M30" s="1">
        <f t="shared" si="3"/>
        <v>885.29861047669556</v>
      </c>
      <c r="O30" t="str">
        <f t="shared" si="4"/>
        <v/>
      </c>
      <c r="P30" t="str">
        <f>IF(OR(SUM(M16:M30)=0,O30=""),"",ROUND(SUM(M16:M30)+O30,2))</f>
        <v/>
      </c>
      <c r="R30" s="1">
        <f t="shared" si="5"/>
        <v>8993.2098765432092</v>
      </c>
    </row>
    <row r="31" spans="1:21" x14ac:dyDescent="0.3">
      <c r="A31" t="s">
        <v>25</v>
      </c>
      <c r="B31">
        <v>2022</v>
      </c>
      <c r="C31">
        <v>282836</v>
      </c>
      <c r="D31">
        <v>59972</v>
      </c>
      <c r="E31">
        <v>4.5599999999999996</v>
      </c>
      <c r="F31">
        <v>91495</v>
      </c>
      <c r="G31">
        <v>-20298</v>
      </c>
      <c r="H31">
        <f t="shared" si="0"/>
        <v>20298</v>
      </c>
      <c r="I31">
        <f t="shared" si="1"/>
        <v>71197</v>
      </c>
      <c r="J31" s="4">
        <v>0.26845302784656772</v>
      </c>
      <c r="K31" s="1">
        <v>71197</v>
      </c>
      <c r="L31" s="1">
        <f>1/(1+0.1)^(MAX($B$31:$B$44)-B31)</f>
        <v>1</v>
      </c>
      <c r="M31" s="1">
        <f t="shared" si="3"/>
        <v>71197</v>
      </c>
      <c r="N31">
        <f>IF(K31="","",K31*(1+0.03)/(0.1-0.03))</f>
        <v>1047613</v>
      </c>
      <c r="O31">
        <f t="shared" si="4"/>
        <v>1047613</v>
      </c>
      <c r="P31" s="1">
        <f>SUM(M31:M44)+O31</f>
        <v>1240297.1259985857</v>
      </c>
      <c r="Q31" s="6">
        <v>1144.3499999999999</v>
      </c>
      <c r="R31" s="1">
        <f t="shared" si="5"/>
        <v>13151.754385964914</v>
      </c>
      <c r="S31" s="1">
        <f>P31/R31</f>
        <v>94.306591318507799</v>
      </c>
      <c r="T31" s="1">
        <f>(Q31*1000)/R31</f>
        <v>87.011205229106906</v>
      </c>
      <c r="U31" s="3">
        <f>((S31-T31)/T31)</f>
        <v>8.3844213744558582E-2</v>
      </c>
    </row>
    <row r="32" spans="1:21" x14ac:dyDescent="0.3">
      <c r="A32" t="s">
        <v>25</v>
      </c>
      <c r="B32">
        <v>2021</v>
      </c>
      <c r="C32">
        <v>257637</v>
      </c>
      <c r="D32">
        <v>76033</v>
      </c>
      <c r="E32">
        <v>5.61</v>
      </c>
      <c r="F32">
        <v>91652</v>
      </c>
      <c r="G32">
        <v>-35523</v>
      </c>
      <c r="H32">
        <f t="shared" si="0"/>
        <v>35523</v>
      </c>
      <c r="I32">
        <f t="shared" si="1"/>
        <v>56129</v>
      </c>
      <c r="J32" s="4">
        <v>0.73500046366418348</v>
      </c>
      <c r="K32" s="1">
        <f>I32*(1+J31/100)</f>
        <v>56279.68</v>
      </c>
      <c r="L32" s="1">
        <f t="shared" ref="L32:L44" si="10">1/(1+0.1)^(MAX($B$31:$B$44)-B32)</f>
        <v>0.90909090909090906</v>
      </c>
      <c r="M32" s="1">
        <f t="shared" si="3"/>
        <v>51163.345454545452</v>
      </c>
      <c r="O32" t="str">
        <f t="shared" si="4"/>
        <v/>
      </c>
      <c r="R32" s="1">
        <f t="shared" si="5"/>
        <v>13553.119429590017</v>
      </c>
    </row>
    <row r="33" spans="1:21" x14ac:dyDescent="0.3">
      <c r="A33" t="s">
        <v>25</v>
      </c>
      <c r="B33">
        <v>2020</v>
      </c>
      <c r="C33">
        <v>182527</v>
      </c>
      <c r="D33">
        <v>40269</v>
      </c>
      <c r="E33">
        <v>2.93</v>
      </c>
      <c r="F33">
        <v>65124</v>
      </c>
      <c r="G33">
        <v>-32773</v>
      </c>
      <c r="H33">
        <f t="shared" si="0"/>
        <v>32773</v>
      </c>
      <c r="I33">
        <f t="shared" si="1"/>
        <v>32351</v>
      </c>
      <c r="J33" s="4">
        <v>0.29254065284270248</v>
      </c>
      <c r="K33" s="1">
        <f t="shared" ref="K33:K44" si="11">I33*(1+J32/100)</f>
        <v>32588.780000000002</v>
      </c>
      <c r="L33" s="1">
        <f t="shared" si="10"/>
        <v>0.82644628099173545</v>
      </c>
      <c r="M33" s="1">
        <f t="shared" si="3"/>
        <v>26932.876033057852</v>
      </c>
      <c r="O33" t="str">
        <f t="shared" si="4"/>
        <v/>
      </c>
      <c r="R33" s="1">
        <f t="shared" si="5"/>
        <v>13743.686006825938</v>
      </c>
    </row>
    <row r="34" spans="1:21" x14ac:dyDescent="0.3">
      <c r="A34" t="s">
        <v>25</v>
      </c>
      <c r="B34">
        <v>2019</v>
      </c>
      <c r="C34">
        <v>161857</v>
      </c>
      <c r="D34">
        <v>34343</v>
      </c>
      <c r="E34">
        <v>2.4580000000000002</v>
      </c>
      <c r="F34">
        <v>54520</v>
      </c>
      <c r="G34">
        <v>-29491</v>
      </c>
      <c r="H34">
        <f t="shared" si="0"/>
        <v>29491</v>
      </c>
      <c r="I34">
        <f t="shared" si="1"/>
        <v>25029</v>
      </c>
      <c r="J34" s="4">
        <v>0.2857142857142857</v>
      </c>
      <c r="K34" s="1">
        <f t="shared" si="11"/>
        <v>25102.219999999998</v>
      </c>
      <c r="L34" s="1">
        <f t="shared" si="10"/>
        <v>0.75131480090157754</v>
      </c>
      <c r="M34" s="1">
        <f t="shared" si="3"/>
        <v>18859.669421487597</v>
      </c>
      <c r="O34" t="str">
        <f t="shared" si="4"/>
        <v/>
      </c>
      <c r="R34" s="1">
        <f t="shared" si="5"/>
        <v>13971.928397070787</v>
      </c>
    </row>
    <row r="35" spans="1:21" x14ac:dyDescent="0.3">
      <c r="A35" t="s">
        <v>25</v>
      </c>
      <c r="B35">
        <v>2018</v>
      </c>
      <c r="C35">
        <v>136819</v>
      </c>
      <c r="D35">
        <v>30736</v>
      </c>
      <c r="E35">
        <v>2.1850000000000001</v>
      </c>
      <c r="F35">
        <v>47971</v>
      </c>
      <c r="G35">
        <v>-28504</v>
      </c>
      <c r="H35">
        <f t="shared" si="0"/>
        <v>28504</v>
      </c>
      <c r="I35">
        <f t="shared" si="1"/>
        <v>19467</v>
      </c>
      <c r="J35" s="4">
        <v>2.4212653778558875</v>
      </c>
      <c r="K35" s="1">
        <f t="shared" si="11"/>
        <v>19522.62</v>
      </c>
      <c r="L35" s="1">
        <f t="shared" si="10"/>
        <v>0.68301345536507052</v>
      </c>
      <c r="M35" s="1">
        <f t="shared" si="3"/>
        <v>13334.212143979232</v>
      </c>
      <c r="O35" t="str">
        <f t="shared" si="4"/>
        <v/>
      </c>
      <c r="R35" s="1">
        <f t="shared" si="5"/>
        <v>14066.819221967962</v>
      </c>
    </row>
    <row r="36" spans="1:21" x14ac:dyDescent="0.3">
      <c r="A36" t="s">
        <v>25</v>
      </c>
      <c r="B36">
        <v>2017</v>
      </c>
      <c r="C36">
        <v>110855</v>
      </c>
      <c r="D36">
        <v>12662</v>
      </c>
      <c r="E36">
        <v>0.9</v>
      </c>
      <c r="F36">
        <v>37091</v>
      </c>
      <c r="G36">
        <v>-31401</v>
      </c>
      <c r="H36">
        <f t="shared" si="0"/>
        <v>31401</v>
      </c>
      <c r="I36">
        <f t="shared" si="1"/>
        <v>5690</v>
      </c>
      <c r="J36" s="4">
        <v>0.16813795935126258</v>
      </c>
      <c r="K36" s="1">
        <f t="shared" si="11"/>
        <v>5827.77</v>
      </c>
      <c r="L36" s="1">
        <f t="shared" si="10"/>
        <v>0.62092132305915493</v>
      </c>
      <c r="M36" s="1">
        <f t="shared" si="3"/>
        <v>3618.5866588844515</v>
      </c>
      <c r="O36" t="str">
        <f t="shared" si="4"/>
        <v/>
      </c>
      <c r="R36" s="1">
        <f t="shared" si="5"/>
        <v>14068.888888888889</v>
      </c>
    </row>
    <row r="37" spans="1:21" x14ac:dyDescent="0.3">
      <c r="A37" t="s">
        <v>25</v>
      </c>
      <c r="B37">
        <v>2016</v>
      </c>
      <c r="C37">
        <v>90272</v>
      </c>
      <c r="D37">
        <v>19478</v>
      </c>
      <c r="E37">
        <v>1.3925000000000001</v>
      </c>
      <c r="F37">
        <v>36036</v>
      </c>
      <c r="G37">
        <v>-31165</v>
      </c>
      <c r="H37">
        <f t="shared" si="0"/>
        <v>31165</v>
      </c>
      <c r="I37">
        <f t="shared" si="1"/>
        <v>4871</v>
      </c>
      <c r="J37" s="4">
        <v>0.70255155540020975</v>
      </c>
      <c r="K37" s="1">
        <f t="shared" si="11"/>
        <v>4879.1900000000005</v>
      </c>
      <c r="L37" s="1">
        <f t="shared" si="10"/>
        <v>0.56447393005377722</v>
      </c>
      <c r="M37" s="1">
        <f t="shared" si="3"/>
        <v>2754.1755547790895</v>
      </c>
      <c r="O37" t="str">
        <f t="shared" si="4"/>
        <v/>
      </c>
      <c r="R37" s="1">
        <f t="shared" si="5"/>
        <v>13987.791741472172</v>
      </c>
    </row>
    <row r="38" spans="1:21" x14ac:dyDescent="0.3">
      <c r="A38" t="s">
        <v>25</v>
      </c>
      <c r="B38">
        <v>2015</v>
      </c>
      <c r="C38">
        <v>74989</v>
      </c>
      <c r="D38">
        <v>15826</v>
      </c>
      <c r="E38">
        <v>1.1419999999999999</v>
      </c>
      <c r="F38">
        <v>26572</v>
      </c>
      <c r="G38">
        <v>-23711</v>
      </c>
      <c r="H38">
        <f t="shared" si="0"/>
        <v>23711</v>
      </c>
      <c r="I38">
        <f t="shared" si="1"/>
        <v>2861</v>
      </c>
      <c r="J38" s="4">
        <v>0.45302183849669886</v>
      </c>
      <c r="K38" s="1">
        <f t="shared" si="11"/>
        <v>2881.1</v>
      </c>
      <c r="L38" s="1">
        <f t="shared" si="10"/>
        <v>0.51315811823070645</v>
      </c>
      <c r="M38" s="1">
        <f t="shared" si="3"/>
        <v>1478.4598544344883</v>
      </c>
      <c r="O38" t="str">
        <f t="shared" si="4"/>
        <v/>
      </c>
      <c r="R38" s="1">
        <f t="shared" si="5"/>
        <v>13858.143607705781</v>
      </c>
    </row>
    <row r="39" spans="1:21" x14ac:dyDescent="0.3">
      <c r="A39" t="s">
        <v>25</v>
      </c>
      <c r="B39">
        <v>2014</v>
      </c>
      <c r="C39">
        <v>66001</v>
      </c>
      <c r="D39">
        <v>14136</v>
      </c>
      <c r="E39">
        <v>1.0285</v>
      </c>
      <c r="F39">
        <v>23024</v>
      </c>
      <c r="G39">
        <v>-21055</v>
      </c>
      <c r="H39">
        <f t="shared" si="0"/>
        <v>21055</v>
      </c>
      <c r="I39">
        <f t="shared" si="1"/>
        <v>1969</v>
      </c>
      <c r="J39" s="4">
        <v>-0.60461847389558232</v>
      </c>
      <c r="K39" s="1">
        <f t="shared" si="11"/>
        <v>1977.9199999999998</v>
      </c>
      <c r="L39" s="1">
        <f t="shared" si="10"/>
        <v>0.46650738020973315</v>
      </c>
      <c r="M39" s="1">
        <f t="shared" si="3"/>
        <v>922.71427746443533</v>
      </c>
      <c r="O39" t="str">
        <f t="shared" si="4"/>
        <v/>
      </c>
      <c r="R39" s="1">
        <f t="shared" si="5"/>
        <v>13744.287797763734</v>
      </c>
    </row>
    <row r="40" spans="1:21" x14ac:dyDescent="0.3">
      <c r="A40" t="s">
        <v>25</v>
      </c>
      <c r="B40">
        <v>2013</v>
      </c>
      <c r="C40">
        <v>55519</v>
      </c>
      <c r="D40">
        <v>12733</v>
      </c>
      <c r="E40">
        <v>0.9395</v>
      </c>
      <c r="F40">
        <v>18659</v>
      </c>
      <c r="G40">
        <v>-13679</v>
      </c>
      <c r="H40">
        <f t="shared" si="0"/>
        <v>13679</v>
      </c>
      <c r="I40">
        <f t="shared" si="1"/>
        <v>4980</v>
      </c>
      <c r="J40" s="4">
        <v>0.3976985686219478</v>
      </c>
      <c r="K40" s="1">
        <f t="shared" si="11"/>
        <v>4949.8900000000003</v>
      </c>
      <c r="L40" s="1">
        <f t="shared" si="10"/>
        <v>0.42409761837248466</v>
      </c>
      <c r="M40" s="1">
        <f t="shared" si="3"/>
        <v>2099.2365602057785</v>
      </c>
      <c r="O40" t="str">
        <f t="shared" si="4"/>
        <v/>
      </c>
      <c r="R40" s="1">
        <f t="shared" si="5"/>
        <v>13552.953698775944</v>
      </c>
    </row>
    <row r="41" spans="1:21" x14ac:dyDescent="0.3">
      <c r="A41" t="s">
        <v>25</v>
      </c>
      <c r="B41">
        <v>2012</v>
      </c>
      <c r="C41">
        <v>46039</v>
      </c>
      <c r="D41">
        <v>10737</v>
      </c>
      <c r="E41">
        <v>0.80800000000000005</v>
      </c>
      <c r="F41">
        <v>16619</v>
      </c>
      <c r="G41">
        <v>-13056</v>
      </c>
      <c r="H41">
        <f t="shared" si="0"/>
        <v>13056</v>
      </c>
      <c r="I41">
        <f t="shared" si="1"/>
        <v>3563</v>
      </c>
      <c r="J41" s="4">
        <v>-1.7960232350312779</v>
      </c>
      <c r="K41" s="1">
        <f t="shared" si="11"/>
        <v>3577.17</v>
      </c>
      <c r="L41" s="1">
        <f t="shared" si="10"/>
        <v>0.38554328942953148</v>
      </c>
      <c r="M41" s="1">
        <f t="shared" si="3"/>
        <v>1379.1538886486371</v>
      </c>
      <c r="O41" t="str">
        <f t="shared" si="4"/>
        <v/>
      </c>
      <c r="R41" s="1">
        <f t="shared" si="5"/>
        <v>13288.366336633662</v>
      </c>
    </row>
    <row r="42" spans="1:21" x14ac:dyDescent="0.3">
      <c r="A42" t="s">
        <v>25</v>
      </c>
      <c r="B42">
        <v>2011</v>
      </c>
      <c r="C42">
        <v>37905</v>
      </c>
      <c r="D42">
        <v>9737</v>
      </c>
      <c r="E42">
        <v>0.74399999999999999</v>
      </c>
      <c r="F42">
        <v>14565</v>
      </c>
      <c r="G42">
        <v>-19041</v>
      </c>
      <c r="H42">
        <f t="shared" si="0"/>
        <v>19041</v>
      </c>
      <c r="I42">
        <f t="shared" si="1"/>
        <v>-4476</v>
      </c>
      <c r="J42" s="4">
        <v>-12.16209476309227</v>
      </c>
      <c r="K42" s="1">
        <f t="shared" si="11"/>
        <v>-4395.6100000000006</v>
      </c>
      <c r="L42" s="1">
        <f t="shared" si="10"/>
        <v>0.3504938994813922</v>
      </c>
      <c r="M42" s="1">
        <f t="shared" si="3"/>
        <v>-1540.6344894994027</v>
      </c>
      <c r="O42" t="str">
        <f t="shared" si="4"/>
        <v/>
      </c>
      <c r="R42" s="1">
        <f t="shared" si="5"/>
        <v>13087.365591397849</v>
      </c>
    </row>
    <row r="43" spans="1:21" x14ac:dyDescent="0.3">
      <c r="A43" t="s">
        <v>25</v>
      </c>
      <c r="B43">
        <v>2010</v>
      </c>
      <c r="C43">
        <v>29321</v>
      </c>
      <c r="D43">
        <v>8505</v>
      </c>
      <c r="E43">
        <v>0.65780000000000005</v>
      </c>
      <c r="F43">
        <v>11081</v>
      </c>
      <c r="G43">
        <v>-10680</v>
      </c>
      <c r="H43">
        <f t="shared" si="0"/>
        <v>10680</v>
      </c>
      <c r="I43">
        <f>(F43-H43)</f>
        <v>401</v>
      </c>
      <c r="J43" s="4">
        <v>-0.69082498072474929</v>
      </c>
      <c r="K43" s="1">
        <f t="shared" si="11"/>
        <v>352.23</v>
      </c>
      <c r="L43" s="1">
        <f t="shared" si="10"/>
        <v>0.31863081771035656</v>
      </c>
      <c r="M43" s="1">
        <f t="shared" si="3"/>
        <v>112.2313329221189</v>
      </c>
      <c r="O43" t="str">
        <f t="shared" si="4"/>
        <v/>
      </c>
      <c r="R43" s="1">
        <f t="shared" si="5"/>
        <v>12929.46184250532</v>
      </c>
    </row>
    <row r="44" spans="1:21" x14ac:dyDescent="0.3">
      <c r="A44" t="s">
        <v>25</v>
      </c>
      <c r="B44">
        <v>2009</v>
      </c>
      <c r="C44">
        <v>23651</v>
      </c>
      <c r="D44">
        <v>6520</v>
      </c>
      <c r="E44">
        <v>0.51029999999999998</v>
      </c>
      <c r="F44">
        <v>9316</v>
      </c>
      <c r="G44">
        <v>-8019</v>
      </c>
      <c r="H44">
        <f t="shared" si="0"/>
        <v>8019</v>
      </c>
      <c r="I44">
        <f>(F44-H44)</f>
        <v>1297</v>
      </c>
      <c r="J44" s="4">
        <f>IF(OR(I43="",I44=""),"",ROUND(((I43-I44)/I44)*100,2))</f>
        <v>-69.08</v>
      </c>
      <c r="K44" s="1">
        <f t="shared" si="11"/>
        <v>1288.04</v>
      </c>
      <c r="L44" s="1">
        <f t="shared" si="10"/>
        <v>0.28966437973668779</v>
      </c>
      <c r="M44" s="1">
        <f t="shared" si="3"/>
        <v>373.09930767604334</v>
      </c>
      <c r="O44" t="str">
        <f t="shared" si="4"/>
        <v/>
      </c>
      <c r="P44" t="str">
        <f>IF(OR(SUM(M31:M44)=0,O44=""),"",ROUND(SUM(M31:M44)+O44,2))</f>
        <v/>
      </c>
      <c r="R44" s="1">
        <f t="shared" si="5"/>
        <v>12776.797961983148</v>
      </c>
    </row>
    <row r="45" spans="1:21" x14ac:dyDescent="0.3">
      <c r="A45" t="s">
        <v>26</v>
      </c>
      <c r="B45">
        <v>2022</v>
      </c>
      <c r="C45">
        <v>27518</v>
      </c>
      <c r="D45">
        <v>2419</v>
      </c>
      <c r="E45">
        <v>2.09</v>
      </c>
      <c r="F45">
        <v>5813</v>
      </c>
      <c r="G45">
        <v>-3421</v>
      </c>
      <c r="H45">
        <f t="shared" si="0"/>
        <v>3421</v>
      </c>
      <c r="I45">
        <f t="shared" si="1"/>
        <v>2392</v>
      </c>
      <c r="J45" s="4">
        <v>2.691358024691358</v>
      </c>
      <c r="K45" s="1">
        <v>2392</v>
      </c>
      <c r="L45" s="1">
        <f>1/(1+0.1)^(MAX($B$45:$B$53)-B45)</f>
        <v>1</v>
      </c>
      <c r="M45" s="1">
        <f t="shared" si="3"/>
        <v>2392</v>
      </c>
      <c r="N45" s="1">
        <f>IF(K45="","",K45*(1+0.03)/(0.1-0.03))</f>
        <v>35196.571428571428</v>
      </c>
      <c r="O45">
        <f t="shared" si="4"/>
        <v>35196.57</v>
      </c>
      <c r="P45" s="1">
        <f>SUM(M45:M53)+O45</f>
        <v>25715.912050579191</v>
      </c>
      <c r="Q45" s="6">
        <v>81.19</v>
      </c>
      <c r="R45" s="1">
        <f t="shared" si="5"/>
        <v>1157.4162679425838</v>
      </c>
      <c r="S45" s="1">
        <f>P45/R45</f>
        <v>22.218377918855108</v>
      </c>
      <c r="T45" s="1">
        <f>(Q45*1000)/R45</f>
        <v>70.147622984704427</v>
      </c>
      <c r="U45" s="3">
        <f>((S45-T45)/T45)</f>
        <v>-0.68326256865895807</v>
      </c>
    </row>
    <row r="46" spans="1:21" x14ac:dyDescent="0.3">
      <c r="A46" t="s">
        <v>26</v>
      </c>
      <c r="B46">
        <v>2021</v>
      </c>
      <c r="C46">
        <v>25371</v>
      </c>
      <c r="D46">
        <v>4169</v>
      </c>
      <c r="E46">
        <v>3.52</v>
      </c>
      <c r="F46">
        <v>5797</v>
      </c>
      <c r="G46">
        <v>-5149</v>
      </c>
      <c r="H46">
        <f t="shared" si="0"/>
        <v>5149</v>
      </c>
      <c r="I46">
        <f t="shared" si="1"/>
        <v>648</v>
      </c>
      <c r="J46" s="4">
        <v>-1.0627542126670539</v>
      </c>
      <c r="K46" s="1">
        <f>I46*(1+J45/100)</f>
        <v>665.44</v>
      </c>
      <c r="L46" s="1">
        <f t="shared" ref="L46:L81" si="12">1/(1+0.1)^(MAX($B$31:$B$44)-B46)</f>
        <v>0.90909090909090906</v>
      </c>
      <c r="M46" s="1">
        <f t="shared" si="3"/>
        <v>604.9454545454546</v>
      </c>
      <c r="O46" t="str">
        <f t="shared" si="4"/>
        <v/>
      </c>
      <c r="R46" s="1">
        <f t="shared" si="5"/>
        <v>1184.375</v>
      </c>
    </row>
    <row r="47" spans="1:21" x14ac:dyDescent="0.3">
      <c r="A47" t="s">
        <v>26</v>
      </c>
      <c r="B47">
        <v>2020</v>
      </c>
      <c r="C47">
        <v>21454</v>
      </c>
      <c r="D47">
        <v>4202</v>
      </c>
      <c r="E47">
        <v>3.54</v>
      </c>
      <c r="F47">
        <v>6219</v>
      </c>
      <c r="G47">
        <v>-16545</v>
      </c>
      <c r="H47">
        <f t="shared" si="0"/>
        <v>16545</v>
      </c>
      <c r="I47">
        <f t="shared" si="1"/>
        <v>-10326</v>
      </c>
      <c r="J47" s="4">
        <v>5.1795332136445245</v>
      </c>
      <c r="K47" s="1">
        <f t="shared" ref="K47:K53" si="13">I47*(1+J46/100)</f>
        <v>-10216.26</v>
      </c>
      <c r="L47" s="1">
        <f t="shared" si="12"/>
        <v>0.82644628099173545</v>
      </c>
      <c r="M47" s="1">
        <f t="shared" si="3"/>
        <v>-8443.1900826446272</v>
      </c>
      <c r="O47" t="str">
        <f t="shared" si="4"/>
        <v/>
      </c>
      <c r="R47" s="1">
        <f t="shared" si="5"/>
        <v>1187.0056497175142</v>
      </c>
    </row>
    <row r="48" spans="1:21" x14ac:dyDescent="0.3">
      <c r="A48" t="s">
        <v>26</v>
      </c>
      <c r="B48">
        <v>2019</v>
      </c>
      <c r="C48">
        <v>17772</v>
      </c>
      <c r="D48">
        <v>2459</v>
      </c>
      <c r="E48">
        <v>2.0699999999999998</v>
      </c>
      <c r="F48">
        <v>4071</v>
      </c>
      <c r="G48">
        <v>-5742</v>
      </c>
      <c r="H48">
        <f t="shared" si="0"/>
        <v>5742</v>
      </c>
      <c r="I48">
        <f t="shared" si="1"/>
        <v>-1671</v>
      </c>
      <c r="J48" s="4">
        <v>-1.3586606567933033</v>
      </c>
      <c r="K48" s="1">
        <f t="shared" si="13"/>
        <v>-1757.55</v>
      </c>
      <c r="L48" s="1">
        <f t="shared" si="12"/>
        <v>0.75131480090157754</v>
      </c>
      <c r="M48" s="1">
        <f t="shared" si="3"/>
        <v>-1320.4733283245675</v>
      </c>
      <c r="O48" t="str">
        <f t="shared" si="4"/>
        <v/>
      </c>
      <c r="R48" s="1">
        <f t="shared" si="5"/>
        <v>1187.9227053140098</v>
      </c>
    </row>
    <row r="49" spans="1:21" x14ac:dyDescent="0.3">
      <c r="A49" t="s">
        <v>26</v>
      </c>
      <c r="B49">
        <v>2018</v>
      </c>
      <c r="C49">
        <v>15451</v>
      </c>
      <c r="D49">
        <v>2057</v>
      </c>
      <c r="E49">
        <v>1.71</v>
      </c>
      <c r="F49">
        <v>5480</v>
      </c>
      <c r="G49">
        <v>821</v>
      </c>
      <c r="H49">
        <f t="shared" si="0"/>
        <v>821</v>
      </c>
      <c r="I49">
        <f t="shared" si="1"/>
        <v>4659</v>
      </c>
      <c r="J49" s="4">
        <v>-3.3843398157625382</v>
      </c>
      <c r="K49" s="1">
        <f t="shared" si="13"/>
        <v>4595.7</v>
      </c>
      <c r="L49" s="1">
        <f t="shared" si="12"/>
        <v>0.68301345536507052</v>
      </c>
      <c r="M49" s="1">
        <f t="shared" si="3"/>
        <v>3138.9249368212545</v>
      </c>
      <c r="O49" t="str">
        <f t="shared" si="4"/>
        <v/>
      </c>
      <c r="R49" s="1">
        <f t="shared" si="5"/>
        <v>1202.9239766081871</v>
      </c>
    </row>
    <row r="50" spans="1:21" x14ac:dyDescent="0.3">
      <c r="A50" t="s">
        <v>26</v>
      </c>
      <c r="B50">
        <v>2017</v>
      </c>
      <c r="C50">
        <v>13094</v>
      </c>
      <c r="D50">
        <v>1795</v>
      </c>
      <c r="E50">
        <v>1.47</v>
      </c>
      <c r="F50">
        <v>2531</v>
      </c>
      <c r="G50">
        <v>-4485</v>
      </c>
      <c r="H50">
        <f t="shared" si="0"/>
        <v>4485</v>
      </c>
      <c r="I50">
        <f t="shared" si="1"/>
        <v>-1954</v>
      </c>
      <c r="J50" s="4">
        <v>-0.28841951930080117</v>
      </c>
      <c r="K50" s="1">
        <f t="shared" si="13"/>
        <v>-1887.87</v>
      </c>
      <c r="L50" s="1">
        <f t="shared" si="12"/>
        <v>0.62092132305915493</v>
      </c>
      <c r="M50" s="1">
        <f t="shared" si="3"/>
        <v>-1172.2187381636868</v>
      </c>
      <c r="O50" t="str">
        <f t="shared" si="4"/>
        <v/>
      </c>
      <c r="R50" s="1">
        <f t="shared" si="5"/>
        <v>1221.0884353741496</v>
      </c>
    </row>
    <row r="51" spans="1:21" x14ac:dyDescent="0.3">
      <c r="A51" t="s">
        <v>26</v>
      </c>
      <c r="B51">
        <v>2016</v>
      </c>
      <c r="C51">
        <v>10842</v>
      </c>
      <c r="D51">
        <v>1401</v>
      </c>
      <c r="E51">
        <v>1.1499999999999999</v>
      </c>
      <c r="F51">
        <v>3158</v>
      </c>
      <c r="G51">
        <v>-5904</v>
      </c>
      <c r="H51">
        <f t="shared" si="0"/>
        <v>5904</v>
      </c>
      <c r="I51">
        <f t="shared" si="1"/>
        <v>-2746</v>
      </c>
      <c r="J51" s="4">
        <v>-0.5</v>
      </c>
      <c r="K51" s="1">
        <f t="shared" si="13"/>
        <v>-2738.08</v>
      </c>
      <c r="L51" s="1">
        <f t="shared" si="12"/>
        <v>0.56447393005377722</v>
      </c>
      <c r="M51" s="1">
        <f t="shared" si="3"/>
        <v>-1545.5747784016462</v>
      </c>
      <c r="O51" t="str">
        <f t="shared" si="4"/>
        <v/>
      </c>
      <c r="R51" s="1">
        <f t="shared" si="5"/>
        <v>1218.2608695652175</v>
      </c>
    </row>
    <row r="52" spans="1:21" x14ac:dyDescent="0.3">
      <c r="A52" t="s">
        <v>26</v>
      </c>
      <c r="B52">
        <v>2015</v>
      </c>
      <c r="C52">
        <v>9248</v>
      </c>
      <c r="D52">
        <v>1228</v>
      </c>
      <c r="E52">
        <v>1</v>
      </c>
      <c r="F52">
        <v>2546</v>
      </c>
      <c r="G52">
        <v>-8038</v>
      </c>
      <c r="H52">
        <f t="shared" si="0"/>
        <v>8038</v>
      </c>
      <c r="I52">
        <f t="shared" si="1"/>
        <v>-5492</v>
      </c>
      <c r="J52" s="4">
        <v>7.3086232980332833</v>
      </c>
      <c r="K52" s="1">
        <f t="shared" si="13"/>
        <v>-5464.54</v>
      </c>
      <c r="L52" s="1">
        <f t="shared" si="12"/>
        <v>0.51315811823070645</v>
      </c>
      <c r="M52" s="1">
        <f t="shared" si="3"/>
        <v>-2804.1730633964248</v>
      </c>
      <c r="O52" t="str">
        <f t="shared" si="4"/>
        <v/>
      </c>
      <c r="R52" s="1">
        <f t="shared" si="5"/>
        <v>1228</v>
      </c>
    </row>
    <row r="53" spans="1:21" x14ac:dyDescent="0.3">
      <c r="A53" t="s">
        <v>26</v>
      </c>
      <c r="B53">
        <v>2014</v>
      </c>
      <c r="C53">
        <v>8025</v>
      </c>
      <c r="D53">
        <v>419</v>
      </c>
      <c r="E53">
        <v>0.34</v>
      </c>
      <c r="F53">
        <v>2220</v>
      </c>
      <c r="G53">
        <v>-2881</v>
      </c>
      <c r="H53">
        <f t="shared" si="0"/>
        <v>2881</v>
      </c>
      <c r="I53">
        <f t="shared" si="1"/>
        <v>-661</v>
      </c>
      <c r="J53" s="4">
        <f>IF(OR(I53=0,I52=""),"",ROUND(((I52-I53)/ABS(I53))*100,2))</f>
        <v>-730.86</v>
      </c>
      <c r="K53" s="1">
        <f t="shared" si="13"/>
        <v>-709.31</v>
      </c>
      <c r="L53" s="1">
        <f t="shared" si="12"/>
        <v>0.46650738020973315</v>
      </c>
      <c r="M53" s="1">
        <f t="shared" si="3"/>
        <v>-330.8983498565658</v>
      </c>
      <c r="O53" t="str">
        <f t="shared" si="4"/>
        <v/>
      </c>
      <c r="P53" t="str">
        <f>IF(OR(SUM(M45:M53)=0,O53=""),"",ROUND(SUM(M45:M53)+O53,2))</f>
        <v/>
      </c>
      <c r="R53" s="1">
        <f t="shared" si="5"/>
        <v>1232.3529411764705</v>
      </c>
    </row>
    <row r="54" spans="1:21" x14ac:dyDescent="0.3">
      <c r="A54" t="s">
        <v>28</v>
      </c>
      <c r="B54">
        <v>2022</v>
      </c>
      <c r="C54">
        <v>56437</v>
      </c>
      <c r="D54">
        <v>10247</v>
      </c>
      <c r="E54">
        <v>13.01</v>
      </c>
      <c r="F54">
        <v>4207</v>
      </c>
      <c r="G54">
        <v>-3626</v>
      </c>
      <c r="H54">
        <f t="shared" si="0"/>
        <v>3626</v>
      </c>
      <c r="I54">
        <f t="shared" si="1"/>
        <v>581</v>
      </c>
      <c r="J54" s="4">
        <v>-0.80626875625208394</v>
      </c>
      <c r="K54" s="1">
        <v>581</v>
      </c>
      <c r="L54" s="1">
        <f>1/(1+0.1)^(MAX($B$54:$B$59)-B54)</f>
        <v>1</v>
      </c>
      <c r="M54" s="1">
        <f t="shared" si="3"/>
        <v>581</v>
      </c>
      <c r="N54" s="1">
        <f>IF(K54="","",K54*(1+0.03)/(0.1-0.03))</f>
        <v>8549</v>
      </c>
      <c r="O54">
        <f t="shared" si="4"/>
        <v>8549</v>
      </c>
      <c r="P54" s="1">
        <f>SUM(M54:M67)+O54</f>
        <v>-53291.903327707187</v>
      </c>
      <c r="Q54" s="5">
        <v>46.99</v>
      </c>
      <c r="R54" s="1">
        <f>IFERROR(D54/E54,"")</f>
        <v>787.62490392006146</v>
      </c>
      <c r="S54" s="1">
        <f>P54/R54</f>
        <v>-67.661526524199331</v>
      </c>
      <c r="T54" s="1">
        <f>(Q54*1000)/R54</f>
        <v>59.660378647408997</v>
      </c>
      <c r="U54" s="3">
        <f>((S54-T54)/T54)</f>
        <v>-2.1341115839052391</v>
      </c>
    </row>
    <row r="55" spans="1:21" x14ac:dyDescent="0.3">
      <c r="A55" t="s">
        <v>28</v>
      </c>
      <c r="B55">
        <v>2021</v>
      </c>
      <c r="C55">
        <v>52057</v>
      </c>
      <c r="D55">
        <v>9359</v>
      </c>
      <c r="E55">
        <v>10.82</v>
      </c>
      <c r="F55">
        <v>6279</v>
      </c>
      <c r="G55">
        <v>-3280</v>
      </c>
      <c r="H55">
        <f t="shared" si="0"/>
        <v>3280</v>
      </c>
      <c r="I55">
        <f t="shared" si="1"/>
        <v>2999</v>
      </c>
      <c r="J55" s="4">
        <v>-1.5807513555383423</v>
      </c>
      <c r="K55" s="1">
        <f>I55*(1+54/100)</f>
        <v>4618.46</v>
      </c>
      <c r="L55" s="1">
        <f t="shared" si="12"/>
        <v>0.90909090909090906</v>
      </c>
      <c r="M55" s="1">
        <f t="shared" si="3"/>
        <v>4198.5999999999995</v>
      </c>
      <c r="O55" t="str">
        <f t="shared" si="4"/>
        <v/>
      </c>
      <c r="R55" s="1">
        <f t="shared" si="5"/>
        <v>864.9722735674676</v>
      </c>
    </row>
    <row r="56" spans="1:21" x14ac:dyDescent="0.3">
      <c r="A56" t="s">
        <v>28</v>
      </c>
      <c r="B56">
        <v>2020</v>
      </c>
      <c r="C56">
        <v>43736</v>
      </c>
      <c r="D56">
        <v>-5973</v>
      </c>
      <c r="E56">
        <v>-6.88</v>
      </c>
      <c r="F56">
        <v>1038</v>
      </c>
      <c r="G56">
        <v>-6202</v>
      </c>
      <c r="H56">
        <f t="shared" si="0"/>
        <v>6202</v>
      </c>
      <c r="I56">
        <f t="shared" si="1"/>
        <v>-5164</v>
      </c>
      <c r="J56" s="4">
        <v>-0.29085416094479538</v>
      </c>
      <c r="K56" s="1">
        <f t="shared" ref="K56:K66" si="14">I56*(1+54/100)</f>
        <v>-7952.56</v>
      </c>
      <c r="L56" s="1">
        <f t="shared" si="12"/>
        <v>0.82644628099173545</v>
      </c>
      <c r="M56" s="1">
        <f t="shared" si="3"/>
        <v>-6572.363636363636</v>
      </c>
      <c r="O56" t="str">
        <f t="shared" si="4"/>
        <v/>
      </c>
      <c r="R56" s="1">
        <f t="shared" si="5"/>
        <v>868.16860465116281</v>
      </c>
    </row>
    <row r="57" spans="1:21" x14ac:dyDescent="0.3">
      <c r="A57" t="s">
        <v>28</v>
      </c>
      <c r="B57">
        <v>2019</v>
      </c>
      <c r="C57">
        <v>49746</v>
      </c>
      <c r="D57">
        <v>3326</v>
      </c>
      <c r="E57">
        <v>3.74</v>
      </c>
      <c r="F57">
        <v>-1807</v>
      </c>
      <c r="G57">
        <v>-5475</v>
      </c>
      <c r="H57">
        <f t="shared" si="0"/>
        <v>5475</v>
      </c>
      <c r="I57">
        <f t="shared" si="1"/>
        <v>-7282</v>
      </c>
      <c r="J57" s="4">
        <v>10.802269043760129</v>
      </c>
      <c r="K57" s="1">
        <f t="shared" si="14"/>
        <v>-11214.28</v>
      </c>
      <c r="L57" s="1">
        <f t="shared" si="12"/>
        <v>0.75131480090157754</v>
      </c>
      <c r="M57" s="1">
        <f t="shared" si="3"/>
        <v>-8425.4545454545441</v>
      </c>
      <c r="O57" t="str">
        <f t="shared" si="4"/>
        <v/>
      </c>
      <c r="R57" s="1">
        <f t="shared" si="5"/>
        <v>889.30481283422455</v>
      </c>
    </row>
    <row r="58" spans="1:21" x14ac:dyDescent="0.3">
      <c r="A58" t="s">
        <v>28</v>
      </c>
      <c r="B58">
        <v>2018</v>
      </c>
      <c r="C58">
        <v>47389</v>
      </c>
      <c r="D58">
        <v>-6</v>
      </c>
      <c r="E58">
        <v>-0.01</v>
      </c>
      <c r="F58">
        <v>-394</v>
      </c>
      <c r="G58">
        <v>-223</v>
      </c>
      <c r="H58">
        <f t="shared" si="0"/>
        <v>223</v>
      </c>
      <c r="I58">
        <f t="shared" si="1"/>
        <v>-617</v>
      </c>
      <c r="J58" s="4">
        <v>-0.97177364014822265</v>
      </c>
      <c r="K58" s="1">
        <f t="shared" si="14"/>
        <v>-950.18000000000006</v>
      </c>
      <c r="L58" s="1">
        <f t="shared" si="12"/>
        <v>0.68301345536507052</v>
      </c>
      <c r="M58" s="1">
        <f t="shared" si="3"/>
        <v>-648.98572501878277</v>
      </c>
      <c r="O58" t="str">
        <f t="shared" si="4"/>
        <v/>
      </c>
      <c r="R58" s="1">
        <f t="shared" si="5"/>
        <v>600</v>
      </c>
    </row>
    <row r="59" spans="1:21" x14ac:dyDescent="0.3">
      <c r="A59" t="s">
        <v>28</v>
      </c>
      <c r="B59">
        <v>2017</v>
      </c>
      <c r="C59">
        <v>49520</v>
      </c>
      <c r="D59">
        <v>-6084</v>
      </c>
      <c r="E59">
        <v>-6.54</v>
      </c>
      <c r="F59">
        <v>-7818</v>
      </c>
      <c r="G59">
        <v>14041</v>
      </c>
      <c r="H59">
        <f t="shared" si="0"/>
        <v>14041</v>
      </c>
      <c r="I59">
        <f t="shared" si="1"/>
        <v>-21859</v>
      </c>
      <c r="J59" s="4">
        <v>-88.436000000000007</v>
      </c>
      <c r="K59" s="1">
        <f t="shared" si="14"/>
        <v>-33662.86</v>
      </c>
      <c r="L59" s="1">
        <f t="shared" si="12"/>
        <v>0.62092132305915493</v>
      </c>
      <c r="M59" s="1">
        <f t="shared" si="3"/>
        <v>-20901.987569155106</v>
      </c>
      <c r="O59" t="str">
        <f t="shared" si="4"/>
        <v/>
      </c>
      <c r="R59" s="1">
        <f t="shared" si="5"/>
        <v>930.27522935779814</v>
      </c>
    </row>
    <row r="60" spans="1:21" x14ac:dyDescent="0.3">
      <c r="A60" t="s">
        <v>28</v>
      </c>
      <c r="B60">
        <v>2016</v>
      </c>
      <c r="C60">
        <v>52367</v>
      </c>
      <c r="D60">
        <v>-849</v>
      </c>
      <c r="E60">
        <v>-0.78</v>
      </c>
      <c r="F60">
        <v>3502</v>
      </c>
      <c r="G60">
        <v>3252</v>
      </c>
      <c r="H60">
        <f t="shared" si="0"/>
        <v>3252</v>
      </c>
      <c r="I60">
        <f t="shared" si="1"/>
        <v>250</v>
      </c>
      <c r="J60" s="4">
        <v>-1.0447627573858549</v>
      </c>
      <c r="K60" s="1">
        <f t="shared" si="14"/>
        <v>385</v>
      </c>
      <c r="L60" s="1">
        <f t="shared" si="12"/>
        <v>0.56447393005377722</v>
      </c>
      <c r="M60" s="1">
        <f t="shared" si="3"/>
        <v>217.32246307070423</v>
      </c>
      <c r="O60" t="str">
        <f t="shared" si="4"/>
        <v/>
      </c>
      <c r="R60" s="1">
        <f t="shared" si="5"/>
        <v>1088.4615384615383</v>
      </c>
    </row>
    <row r="61" spans="1:21" x14ac:dyDescent="0.3">
      <c r="A61" t="s">
        <v>28</v>
      </c>
      <c r="B61">
        <v>2015</v>
      </c>
      <c r="C61">
        <v>58327</v>
      </c>
      <c r="D61">
        <v>2196</v>
      </c>
      <c r="E61">
        <v>1.65</v>
      </c>
      <c r="F61">
        <v>2877</v>
      </c>
      <c r="G61">
        <v>8462</v>
      </c>
      <c r="H61">
        <f t="shared" si="0"/>
        <v>8462</v>
      </c>
      <c r="I61">
        <f t="shared" si="1"/>
        <v>-5585</v>
      </c>
      <c r="J61" s="4">
        <v>-0.39797348280694189</v>
      </c>
      <c r="K61" s="1">
        <f t="shared" si="14"/>
        <v>-8600.9</v>
      </c>
      <c r="L61" s="1">
        <f t="shared" si="12"/>
        <v>0.51315811823070645</v>
      </c>
      <c r="M61" s="1">
        <f t="shared" si="3"/>
        <v>-4413.6216590904833</v>
      </c>
      <c r="O61" t="str">
        <f t="shared" si="4"/>
        <v/>
      </c>
      <c r="R61" s="1">
        <f t="shared" si="5"/>
        <v>1330.909090909091</v>
      </c>
    </row>
    <row r="62" spans="1:21" x14ac:dyDescent="0.3">
      <c r="A62" t="s">
        <v>28</v>
      </c>
      <c r="B62">
        <v>2014</v>
      </c>
      <c r="C62">
        <v>64406</v>
      </c>
      <c r="D62">
        <v>7529</v>
      </c>
      <c r="E62">
        <v>5.2</v>
      </c>
      <c r="F62">
        <v>5007</v>
      </c>
      <c r="G62">
        <v>14284</v>
      </c>
      <c r="H62">
        <f t="shared" si="0"/>
        <v>14284</v>
      </c>
      <c r="I62">
        <f t="shared" si="1"/>
        <v>-9277</v>
      </c>
      <c r="J62" s="4">
        <v>6.5178282009724482</v>
      </c>
      <c r="K62" s="1">
        <f t="shared" si="14"/>
        <v>-14286.58</v>
      </c>
      <c r="L62" s="1">
        <f t="shared" si="12"/>
        <v>0.46650738020973315</v>
      </c>
      <c r="M62" s="1">
        <f t="shared" si="3"/>
        <v>-6664.795007956769</v>
      </c>
      <c r="O62" t="str">
        <f t="shared" si="4"/>
        <v/>
      </c>
      <c r="R62" s="1">
        <f t="shared" si="5"/>
        <v>1447.8846153846152</v>
      </c>
    </row>
    <row r="63" spans="1:21" x14ac:dyDescent="0.3">
      <c r="A63" t="s">
        <v>28</v>
      </c>
      <c r="B63">
        <v>2013</v>
      </c>
      <c r="C63">
        <v>68874</v>
      </c>
      <c r="D63">
        <v>9085</v>
      </c>
      <c r="E63">
        <v>6.13</v>
      </c>
      <c r="F63">
        <v>5865</v>
      </c>
      <c r="G63">
        <v>7099</v>
      </c>
      <c r="H63">
        <f t="shared" si="0"/>
        <v>7099</v>
      </c>
      <c r="I63">
        <f t="shared" si="1"/>
        <v>-1234</v>
      </c>
      <c r="J63" s="4">
        <v>-0.90460729746444035</v>
      </c>
      <c r="K63" s="1">
        <f t="shared" si="14"/>
        <v>-1900.3600000000001</v>
      </c>
      <c r="L63" s="1">
        <f t="shared" si="12"/>
        <v>0.42409761837248466</v>
      </c>
      <c r="M63" s="1">
        <f t="shared" si="3"/>
        <v>-805.93815005033503</v>
      </c>
      <c r="O63" t="str">
        <f t="shared" si="4"/>
        <v/>
      </c>
      <c r="R63" s="1">
        <f t="shared" si="5"/>
        <v>1482.0554649265905</v>
      </c>
    </row>
    <row r="64" spans="1:21" x14ac:dyDescent="0.3">
      <c r="A64" t="s">
        <v>28</v>
      </c>
      <c r="B64">
        <v>2012</v>
      </c>
      <c r="C64">
        <v>71214</v>
      </c>
      <c r="D64">
        <v>3438</v>
      </c>
      <c r="E64">
        <v>2.04</v>
      </c>
      <c r="F64">
        <v>3676</v>
      </c>
      <c r="G64">
        <v>16612</v>
      </c>
      <c r="H64">
        <f t="shared" si="0"/>
        <v>16612</v>
      </c>
      <c r="I64">
        <f t="shared" si="1"/>
        <v>-12936</v>
      </c>
      <c r="J64" s="4">
        <v>-0.64587040433628073</v>
      </c>
      <c r="K64" s="1">
        <f t="shared" si="14"/>
        <v>-19921.439999999999</v>
      </c>
      <c r="L64" s="1">
        <f t="shared" si="12"/>
        <v>0.38554328942953148</v>
      </c>
      <c r="M64" s="1">
        <f t="shared" si="3"/>
        <v>-7680.577507773045</v>
      </c>
      <c r="O64" t="str">
        <f t="shared" si="4"/>
        <v/>
      </c>
      <c r="R64" s="1">
        <f t="shared" si="5"/>
        <v>1685.2941176470588</v>
      </c>
    </row>
    <row r="65" spans="1:21" x14ac:dyDescent="0.3">
      <c r="A65" t="s">
        <v>28</v>
      </c>
      <c r="B65">
        <v>2011</v>
      </c>
      <c r="C65">
        <v>65105</v>
      </c>
      <c r="D65">
        <v>19810</v>
      </c>
      <c r="E65">
        <v>11.01</v>
      </c>
      <c r="F65">
        <v>-81</v>
      </c>
      <c r="G65">
        <v>36448</v>
      </c>
      <c r="H65">
        <f t="shared" si="0"/>
        <v>36448</v>
      </c>
      <c r="I65">
        <f t="shared" si="1"/>
        <v>-36529</v>
      </c>
      <c r="J65" s="4">
        <v>-6.4643231114435302</v>
      </c>
      <c r="K65" s="1">
        <f t="shared" si="14"/>
        <v>-56254.66</v>
      </c>
      <c r="L65" s="1">
        <f t="shared" si="12"/>
        <v>0.3504938994813922</v>
      </c>
      <c r="M65" s="1">
        <f t="shared" si="3"/>
        <v>-19716.915147399897</v>
      </c>
      <c r="O65" t="str">
        <f t="shared" si="4"/>
        <v/>
      </c>
      <c r="R65" s="1">
        <f t="shared" si="5"/>
        <v>1799.2733878292461</v>
      </c>
    </row>
    <row r="66" spans="1:21" x14ac:dyDescent="0.3">
      <c r="A66" t="s">
        <v>28</v>
      </c>
      <c r="B66">
        <v>2010</v>
      </c>
      <c r="C66">
        <v>72829</v>
      </c>
      <c r="D66">
        <v>2046</v>
      </c>
      <c r="E66">
        <v>14.98</v>
      </c>
      <c r="F66">
        <v>16597</v>
      </c>
      <c r="G66">
        <v>-9912</v>
      </c>
      <c r="H66">
        <f t="shared" si="0"/>
        <v>9912</v>
      </c>
      <c r="I66">
        <f t="shared" si="1"/>
        <v>6685</v>
      </c>
      <c r="J66" s="4">
        <v>-0.4779790723098547</v>
      </c>
      <c r="K66" s="1">
        <f t="shared" si="14"/>
        <v>10294.9</v>
      </c>
      <c r="L66" s="1">
        <f t="shared" si="12"/>
        <v>0.31863081771035656</v>
      </c>
      <c r="M66" s="1">
        <f t="shared" si="3"/>
        <v>3280.2724052463495</v>
      </c>
      <c r="O66" t="str">
        <f t="shared" si="4"/>
        <v/>
      </c>
      <c r="R66" s="1">
        <f t="shared" si="5"/>
        <v>136.58210947930573</v>
      </c>
    </row>
    <row r="67" spans="1:21" x14ac:dyDescent="0.3">
      <c r="A67" t="s">
        <v>28</v>
      </c>
      <c r="B67">
        <v>2009</v>
      </c>
      <c r="C67">
        <v>75447</v>
      </c>
      <c r="D67">
        <v>-12244</v>
      </c>
      <c r="E67">
        <v>-90.48</v>
      </c>
      <c r="F67">
        <v>18584</v>
      </c>
      <c r="G67">
        <v>5778</v>
      </c>
      <c r="H67">
        <f t="shared" ref="H67:H130" si="15">ABS(G67)</f>
        <v>5778</v>
      </c>
      <c r="I67">
        <f t="shared" ref="I67:I130" si="16">(F67-H67)</f>
        <v>12806</v>
      </c>
      <c r="J67" s="4">
        <f>IF(OR(I67=0,I66=""),"",ROUND((I67-I66)/ABS(I66),4))</f>
        <v>0.91559999999999997</v>
      </c>
      <c r="K67" s="1">
        <f>I67*(1+54/100)</f>
        <v>19721.240000000002</v>
      </c>
      <c r="L67" s="1">
        <f t="shared" si="12"/>
        <v>0.28966437973668779</v>
      </c>
      <c r="M67" s="1">
        <f t="shared" ref="M67:M130" si="17">IF(OR(ISBLANK(K67),ISBLANK(L67)),"",IFERROR(K67*L67,0))</f>
        <v>5712.5407522383575</v>
      </c>
      <c r="O67" t="str">
        <f t="shared" ref="O67:O130" si="18">IF(OR(N67="",L67=""),"",ROUND(N67*L67,2))</f>
        <v/>
      </c>
      <c r="P67" t="str">
        <f>IF(OR(SUM(M54:M67)=0,O67=""),"",ROUND(SUM(M54:M67)+O67,2))</f>
        <v/>
      </c>
      <c r="R67" s="1">
        <f t="shared" ref="R67:R130" si="19">IFERROR(D67/E67,"")</f>
        <v>135.32272325375774</v>
      </c>
    </row>
    <row r="68" spans="1:21" x14ac:dyDescent="0.3">
      <c r="A68" t="s">
        <v>30</v>
      </c>
      <c r="B68">
        <v>2022</v>
      </c>
      <c r="C68">
        <v>21680</v>
      </c>
      <c r="D68">
        <v>1800</v>
      </c>
      <c r="E68">
        <v>0.84</v>
      </c>
      <c r="F68">
        <v>3721</v>
      </c>
      <c r="G68">
        <v>-10214</v>
      </c>
      <c r="H68">
        <f t="shared" si="15"/>
        <v>10214</v>
      </c>
      <c r="I68">
        <f t="shared" si="16"/>
        <v>-6493</v>
      </c>
      <c r="J68" s="4">
        <v>0.3984492784837389</v>
      </c>
      <c r="K68" s="1">
        <v>-6493</v>
      </c>
      <c r="L68" s="1">
        <f>1/(1+0.1)^(MAX($B$68:$B$81)-B68)</f>
        <v>1</v>
      </c>
      <c r="M68" s="1">
        <f t="shared" si="17"/>
        <v>-6493</v>
      </c>
      <c r="N68" s="1">
        <f>IF(K68="","",K68*(1+0.03)/(0.1-0.03))</f>
        <v>-95539.85714285713</v>
      </c>
      <c r="O68">
        <f t="shared" si="18"/>
        <v>-95539.86</v>
      </c>
      <c r="P68" s="1">
        <f>SUM(M68:M81)+O68</f>
        <v>-133630.61921350579</v>
      </c>
      <c r="Q68" s="5">
        <v>41.28</v>
      </c>
      <c r="R68" s="1">
        <f t="shared" si="19"/>
        <v>2142.8571428571431</v>
      </c>
      <c r="S68" s="1">
        <f>P68/R68</f>
        <v>-62.360955632969365</v>
      </c>
      <c r="T68" s="1">
        <f>(Q68*1000)/R68</f>
        <v>19.263999999999999</v>
      </c>
      <c r="U68" s="3">
        <f>((S68-T68)/T68)</f>
        <v>-4.2371758530403527</v>
      </c>
    </row>
    <row r="69" spans="1:21" x14ac:dyDescent="0.3">
      <c r="A69" t="s">
        <v>30</v>
      </c>
      <c r="B69">
        <v>2021</v>
      </c>
      <c r="C69">
        <v>20642</v>
      </c>
      <c r="D69">
        <v>-102</v>
      </c>
      <c r="E69">
        <v>-0.05</v>
      </c>
      <c r="F69">
        <v>2262</v>
      </c>
      <c r="G69">
        <v>-6905</v>
      </c>
      <c r="H69">
        <f t="shared" si="15"/>
        <v>6905</v>
      </c>
      <c r="I69">
        <f t="shared" si="16"/>
        <v>-4643</v>
      </c>
      <c r="J69" s="4">
        <v>-0.82725649229853415</v>
      </c>
      <c r="K69" s="1">
        <f>I69*(1+J68/100)</f>
        <v>-4661.5</v>
      </c>
      <c r="L69" s="1">
        <f t="shared" si="12"/>
        <v>0.90909090909090906</v>
      </c>
      <c r="M69" s="1">
        <f t="shared" si="17"/>
        <v>-4237.727272727273</v>
      </c>
      <c r="O69" t="str">
        <f t="shared" si="18"/>
        <v/>
      </c>
      <c r="R69" s="1">
        <f t="shared" si="19"/>
        <v>2040</v>
      </c>
    </row>
    <row r="70" spans="1:21" x14ac:dyDescent="0.3">
      <c r="A70" t="s">
        <v>30</v>
      </c>
      <c r="B70">
        <v>2020</v>
      </c>
      <c r="C70">
        <v>18469</v>
      </c>
      <c r="D70">
        <v>-1318</v>
      </c>
      <c r="E70">
        <v>-1.05</v>
      </c>
      <c r="F70">
        <v>-19130</v>
      </c>
      <c r="G70">
        <v>-7748</v>
      </c>
      <c r="H70">
        <f t="shared" si="15"/>
        <v>7748</v>
      </c>
      <c r="I70">
        <f t="shared" si="16"/>
        <v>-26878</v>
      </c>
      <c r="J70" s="4">
        <v>16.207426376440463</v>
      </c>
      <c r="K70" s="1">
        <f t="shared" ref="K70:K81" si="20">I70*(1+J69/100)</f>
        <v>-26655.65</v>
      </c>
      <c r="L70" s="1">
        <f t="shared" si="12"/>
        <v>0.82644628099173545</v>
      </c>
      <c r="M70" s="1">
        <f t="shared" si="17"/>
        <v>-22029.462809917353</v>
      </c>
      <c r="O70" t="str">
        <f t="shared" si="18"/>
        <v/>
      </c>
      <c r="R70" s="1">
        <f t="shared" si="19"/>
        <v>1255.2380952380952</v>
      </c>
    </row>
    <row r="71" spans="1:21" x14ac:dyDescent="0.3">
      <c r="A71" t="s">
        <v>30</v>
      </c>
      <c r="B71">
        <v>2019</v>
      </c>
      <c r="C71">
        <v>17129</v>
      </c>
      <c r="D71">
        <v>-7656</v>
      </c>
      <c r="E71">
        <v>-14.5</v>
      </c>
      <c r="F71">
        <v>4816</v>
      </c>
      <c r="G71">
        <v>-6378</v>
      </c>
      <c r="H71">
        <f t="shared" si="15"/>
        <v>6378</v>
      </c>
      <c r="I71">
        <f t="shared" si="16"/>
        <v>-1562</v>
      </c>
      <c r="J71" s="4">
        <v>-0.13796909492273732</v>
      </c>
      <c r="K71" s="1">
        <f t="shared" si="20"/>
        <v>-1815.16</v>
      </c>
      <c r="L71" s="1">
        <f t="shared" si="12"/>
        <v>0.75131480090157754</v>
      </c>
      <c r="M71" s="1">
        <f t="shared" si="17"/>
        <v>-1363.7565740045075</v>
      </c>
      <c r="O71" t="str">
        <f t="shared" si="18"/>
        <v/>
      </c>
      <c r="R71" s="1">
        <f t="shared" si="19"/>
        <v>528</v>
      </c>
    </row>
    <row r="72" spans="1:21" x14ac:dyDescent="0.3">
      <c r="A72" t="s">
        <v>30</v>
      </c>
      <c r="B72">
        <v>2018</v>
      </c>
      <c r="C72">
        <v>16759</v>
      </c>
      <c r="D72">
        <v>-6851</v>
      </c>
      <c r="E72">
        <v>-13.25</v>
      </c>
      <c r="F72">
        <v>4752</v>
      </c>
      <c r="G72">
        <v>-6564</v>
      </c>
      <c r="H72">
        <f t="shared" si="15"/>
        <v>6564</v>
      </c>
      <c r="I72">
        <f t="shared" si="16"/>
        <v>-1812</v>
      </c>
      <c r="J72" s="4">
        <v>-6.5412844036697244</v>
      </c>
      <c r="K72" s="1">
        <f t="shared" si="20"/>
        <v>-1809.5</v>
      </c>
      <c r="L72" s="1">
        <f t="shared" si="12"/>
        <v>0.68301345536507052</v>
      </c>
      <c r="M72" s="1">
        <f t="shared" si="17"/>
        <v>-1235.9128474830952</v>
      </c>
      <c r="O72" t="str">
        <f t="shared" si="18"/>
        <v/>
      </c>
      <c r="R72" s="1">
        <f t="shared" si="19"/>
        <v>517.05660377358492</v>
      </c>
    </row>
    <row r="73" spans="1:21" x14ac:dyDescent="0.3">
      <c r="A73" t="s">
        <v>30</v>
      </c>
      <c r="B73">
        <v>2017</v>
      </c>
      <c r="C73">
        <v>17135</v>
      </c>
      <c r="D73">
        <v>1646</v>
      </c>
      <c r="E73">
        <v>3.21</v>
      </c>
      <c r="F73">
        <v>5977</v>
      </c>
      <c r="G73">
        <v>-5650</v>
      </c>
      <c r="H73">
        <f t="shared" si="15"/>
        <v>5650</v>
      </c>
      <c r="I73">
        <f t="shared" si="16"/>
        <v>327</v>
      </c>
      <c r="J73" s="4">
        <v>-1.2433035714285714</v>
      </c>
      <c r="K73" s="1">
        <f t="shared" si="20"/>
        <v>305.61</v>
      </c>
      <c r="L73" s="1">
        <f t="shared" si="12"/>
        <v>0.62092132305915493</v>
      </c>
      <c r="M73" s="1">
        <f t="shared" si="17"/>
        <v>189.75976554010833</v>
      </c>
      <c r="O73" t="str">
        <f t="shared" si="18"/>
        <v/>
      </c>
      <c r="R73" s="1">
        <f t="shared" si="19"/>
        <v>512.77258566978196</v>
      </c>
    </row>
    <row r="74" spans="1:21" x14ac:dyDescent="0.3">
      <c r="A74" t="s">
        <v>30</v>
      </c>
      <c r="B74">
        <v>2016</v>
      </c>
      <c r="C74">
        <v>17666</v>
      </c>
      <c r="D74">
        <v>1393</v>
      </c>
      <c r="E74">
        <v>2.78</v>
      </c>
      <c r="F74">
        <v>4409</v>
      </c>
      <c r="G74">
        <v>-5753</v>
      </c>
      <c r="H74">
        <f t="shared" si="15"/>
        <v>5753</v>
      </c>
      <c r="I74">
        <f t="shared" si="16"/>
        <v>-1344</v>
      </c>
      <c r="J74" s="4">
        <v>-6.0796645702306078E-2</v>
      </c>
      <c r="K74" s="1">
        <f t="shared" si="20"/>
        <v>-1327.29</v>
      </c>
      <c r="L74" s="1">
        <f t="shared" si="12"/>
        <v>0.56447393005377722</v>
      </c>
      <c r="M74" s="1">
        <f t="shared" si="17"/>
        <v>-749.22060262107789</v>
      </c>
      <c r="O74" t="str">
        <f t="shared" si="18"/>
        <v/>
      </c>
      <c r="R74" s="1">
        <f t="shared" si="19"/>
        <v>501.07913669064754</v>
      </c>
    </row>
    <row r="75" spans="1:21" x14ac:dyDescent="0.3">
      <c r="A75" t="s">
        <v>30</v>
      </c>
      <c r="B75">
        <v>2015</v>
      </c>
      <c r="C75">
        <v>16833</v>
      </c>
      <c r="D75">
        <v>874</v>
      </c>
      <c r="E75">
        <v>1.79</v>
      </c>
      <c r="F75">
        <v>3780</v>
      </c>
      <c r="G75">
        <v>-5211</v>
      </c>
      <c r="H75">
        <f t="shared" si="15"/>
        <v>5211</v>
      </c>
      <c r="I75">
        <f t="shared" si="16"/>
        <v>-1431</v>
      </c>
      <c r="J75" s="4">
        <v>0.3974609375</v>
      </c>
      <c r="K75" s="1">
        <f t="shared" si="20"/>
        <v>-1430.1299999999999</v>
      </c>
      <c r="L75" s="1">
        <f t="shared" si="12"/>
        <v>0.51315811823070645</v>
      </c>
      <c r="M75" s="1">
        <f t="shared" si="17"/>
        <v>-733.88281962528015</v>
      </c>
      <c r="O75" t="str">
        <f t="shared" si="18"/>
        <v/>
      </c>
      <c r="R75" s="1">
        <f t="shared" si="19"/>
        <v>488.26815642458098</v>
      </c>
    </row>
    <row r="76" spans="1:21" x14ac:dyDescent="0.3">
      <c r="A76" t="s">
        <v>30</v>
      </c>
      <c r="B76">
        <v>2014</v>
      </c>
      <c r="C76">
        <v>17090</v>
      </c>
      <c r="D76">
        <v>1436</v>
      </c>
      <c r="E76">
        <v>3.06</v>
      </c>
      <c r="F76">
        <v>3690</v>
      </c>
      <c r="G76">
        <v>-4714</v>
      </c>
      <c r="H76">
        <f t="shared" si="15"/>
        <v>4714</v>
      </c>
      <c r="I76">
        <f t="shared" si="16"/>
        <v>-1024</v>
      </c>
      <c r="J76" s="4">
        <v>-0.39047619047619053</v>
      </c>
      <c r="K76" s="1">
        <f t="shared" si="20"/>
        <v>-1028.07</v>
      </c>
      <c r="L76" s="1">
        <f t="shared" si="12"/>
        <v>0.46650738020973315</v>
      </c>
      <c r="M76" s="1">
        <f t="shared" si="17"/>
        <v>-479.6022423722203</v>
      </c>
      <c r="O76" t="str">
        <f t="shared" si="18"/>
        <v/>
      </c>
      <c r="R76" s="1">
        <f t="shared" si="19"/>
        <v>469.281045751634</v>
      </c>
    </row>
    <row r="77" spans="1:21" x14ac:dyDescent="0.3">
      <c r="A77" t="s">
        <v>30</v>
      </c>
      <c r="B77">
        <v>2013</v>
      </c>
      <c r="C77">
        <v>15598</v>
      </c>
      <c r="D77">
        <v>814</v>
      </c>
      <c r="E77">
        <v>1.83</v>
      </c>
      <c r="F77">
        <v>3427</v>
      </c>
      <c r="G77">
        <v>-5107</v>
      </c>
      <c r="H77">
        <f t="shared" si="15"/>
        <v>5107</v>
      </c>
      <c r="I77">
        <f t="shared" si="16"/>
        <v>-1680</v>
      </c>
      <c r="J77" s="4">
        <v>-5.7191011235955056</v>
      </c>
      <c r="K77" s="1">
        <f t="shared" si="20"/>
        <v>-1673.44</v>
      </c>
      <c r="L77" s="1">
        <f t="shared" si="12"/>
        <v>0.42409761837248466</v>
      </c>
      <c r="M77" s="1">
        <f t="shared" si="17"/>
        <v>-709.70191848925072</v>
      </c>
      <c r="O77" t="str">
        <f t="shared" si="18"/>
        <v/>
      </c>
      <c r="R77" s="1">
        <f t="shared" si="19"/>
        <v>444.80874316939889</v>
      </c>
    </row>
    <row r="78" spans="1:21" x14ac:dyDescent="0.3">
      <c r="A78" t="s">
        <v>30</v>
      </c>
      <c r="B78">
        <v>2012</v>
      </c>
      <c r="C78">
        <v>15040</v>
      </c>
      <c r="D78">
        <v>816</v>
      </c>
      <c r="E78">
        <v>1.92</v>
      </c>
      <c r="F78">
        <v>4882</v>
      </c>
      <c r="G78">
        <v>-4526</v>
      </c>
      <c r="H78">
        <f t="shared" si="15"/>
        <v>4526</v>
      </c>
      <c r="I78">
        <f t="shared" si="16"/>
        <v>356</v>
      </c>
      <c r="J78" s="4">
        <v>-2.4412955465587043</v>
      </c>
      <c r="K78" s="1">
        <f t="shared" si="20"/>
        <v>335.64</v>
      </c>
      <c r="L78" s="1">
        <f t="shared" si="12"/>
        <v>0.38554328942953148</v>
      </c>
      <c r="M78" s="1">
        <f t="shared" si="17"/>
        <v>129.40374966412793</v>
      </c>
      <c r="O78" t="str">
        <f t="shared" si="18"/>
        <v/>
      </c>
      <c r="R78" s="1">
        <f t="shared" si="19"/>
        <v>425</v>
      </c>
    </row>
    <row r="79" spans="1:21" x14ac:dyDescent="0.3">
      <c r="A79" t="s">
        <v>30</v>
      </c>
      <c r="B79">
        <v>2011</v>
      </c>
      <c r="C79">
        <v>14956</v>
      </c>
      <c r="D79">
        <v>844</v>
      </c>
      <c r="E79">
        <v>2.1</v>
      </c>
      <c r="F79">
        <v>3739</v>
      </c>
      <c r="G79">
        <v>-3986</v>
      </c>
      <c r="H79">
        <f t="shared" si="15"/>
        <v>3986</v>
      </c>
      <c r="I79">
        <f t="shared" si="16"/>
        <v>-247</v>
      </c>
      <c r="J79" s="4">
        <v>-0.62058371735791096</v>
      </c>
      <c r="K79" s="1">
        <f t="shared" si="20"/>
        <v>-240.97</v>
      </c>
      <c r="L79" s="1">
        <f t="shared" si="12"/>
        <v>0.3504938994813922</v>
      </c>
      <c r="M79" s="1">
        <f t="shared" si="17"/>
        <v>-84.458514958031074</v>
      </c>
      <c r="O79" t="str">
        <f t="shared" si="18"/>
        <v/>
      </c>
      <c r="R79" s="1">
        <f t="shared" si="19"/>
        <v>401.90476190476187</v>
      </c>
    </row>
    <row r="80" spans="1:21" x14ac:dyDescent="0.3">
      <c r="A80" t="s">
        <v>30</v>
      </c>
      <c r="B80">
        <v>2010</v>
      </c>
      <c r="C80">
        <v>13841</v>
      </c>
      <c r="D80">
        <v>1099</v>
      </c>
      <c r="E80">
        <v>2.82</v>
      </c>
      <c r="F80">
        <v>3206</v>
      </c>
      <c r="G80">
        <v>-3857</v>
      </c>
      <c r="H80">
        <f t="shared" si="15"/>
        <v>3857</v>
      </c>
      <c r="I80">
        <f t="shared" si="16"/>
        <v>-651</v>
      </c>
      <c r="J80" s="4">
        <v>1.1919191919191918</v>
      </c>
      <c r="K80" s="1">
        <f t="shared" si="20"/>
        <v>-646.95999999999992</v>
      </c>
      <c r="L80" s="1">
        <f t="shared" si="12"/>
        <v>0.31863081771035656</v>
      </c>
      <c r="M80" s="1">
        <f t="shared" si="17"/>
        <v>-206.14139382589227</v>
      </c>
      <c r="O80" t="str">
        <f t="shared" si="18"/>
        <v/>
      </c>
      <c r="R80" s="1">
        <f t="shared" si="19"/>
        <v>389.71631205673759</v>
      </c>
    </row>
    <row r="81" spans="1:21" x14ac:dyDescent="0.3">
      <c r="A81" t="s">
        <v>30</v>
      </c>
      <c r="B81">
        <v>2009</v>
      </c>
      <c r="C81">
        <v>13399</v>
      </c>
      <c r="D81">
        <v>1220</v>
      </c>
      <c r="E81">
        <v>3.2</v>
      </c>
      <c r="F81">
        <v>3039</v>
      </c>
      <c r="G81">
        <v>-3336</v>
      </c>
      <c r="H81">
        <f t="shared" si="15"/>
        <v>3336</v>
      </c>
      <c r="I81">
        <f t="shared" si="16"/>
        <v>-297</v>
      </c>
      <c r="J81" s="4">
        <f>IF(OR(I80=0,I81=""),"",ROUND((I81-I80)/ABS(I80),4))</f>
        <v>0.54379999999999995</v>
      </c>
      <c r="K81" s="1">
        <f t="shared" si="20"/>
        <v>-300.53999999999996</v>
      </c>
      <c r="L81" s="1">
        <f t="shared" si="12"/>
        <v>0.28966437973668779</v>
      </c>
      <c r="M81" s="1">
        <f t="shared" si="17"/>
        <v>-87.055732686064133</v>
      </c>
      <c r="O81" t="str">
        <f t="shared" si="18"/>
        <v/>
      </c>
      <c r="P81" t="str">
        <f>IF(OR(SUM(M2:M81)=0,O81=""),"",ROUND(SUM(M2:M81)+O81,2))</f>
        <v/>
      </c>
      <c r="R81" s="1">
        <f t="shared" si="19"/>
        <v>381.25</v>
      </c>
    </row>
    <row r="82" spans="1:21" x14ac:dyDescent="0.3">
      <c r="A82" t="s">
        <v>32</v>
      </c>
      <c r="B82">
        <v>2018</v>
      </c>
      <c r="C82">
        <v>16702</v>
      </c>
      <c r="D82">
        <v>-383</v>
      </c>
      <c r="E82">
        <v>-3.57</v>
      </c>
      <c r="F82">
        <v>-1842</v>
      </c>
      <c r="G82">
        <v>1894</v>
      </c>
      <c r="H82">
        <f t="shared" si="15"/>
        <v>1894</v>
      </c>
      <c r="I82">
        <f t="shared" si="16"/>
        <v>-3736</v>
      </c>
      <c r="J82" s="4">
        <v>1.2990769230769232</v>
      </c>
      <c r="K82" s="1">
        <v>-3736</v>
      </c>
      <c r="L82" s="1">
        <f>1/(1+0.1)^(MAX($B$82:$B$91)-B82)</f>
        <v>1</v>
      </c>
      <c r="M82" s="1">
        <f t="shared" si="17"/>
        <v>-3736</v>
      </c>
      <c r="N82" s="1">
        <f>IF(K82="","",K82*(1+0.03)/(0.1-0.03))</f>
        <v>-54972.57142857142</v>
      </c>
      <c r="O82">
        <f t="shared" si="18"/>
        <v>-54972.57</v>
      </c>
      <c r="P82" s="1">
        <f>SUM(M82:M91)+O82</f>
        <v>-73008.321055057226</v>
      </c>
      <c r="Q82" s="5">
        <v>0.04</v>
      </c>
      <c r="R82" s="1">
        <f t="shared" si="19"/>
        <v>107.28291316526611</v>
      </c>
      <c r="S82" s="1">
        <f>P82/R82</f>
        <v>-680.52142602233494</v>
      </c>
      <c r="T82" s="1">
        <f>(Q82*1000)/R82</f>
        <v>0.37284595300261097</v>
      </c>
      <c r="U82" s="3">
        <f>((S82-T82)/T82)</f>
        <v>-1826.2080263764306</v>
      </c>
    </row>
    <row r="83" spans="1:21" x14ac:dyDescent="0.3">
      <c r="A83" t="s">
        <v>32</v>
      </c>
      <c r="B83">
        <v>2017</v>
      </c>
      <c r="C83">
        <v>22138</v>
      </c>
      <c r="D83">
        <v>-2221</v>
      </c>
      <c r="E83">
        <v>-20.78</v>
      </c>
      <c r="F83">
        <v>-1381</v>
      </c>
      <c r="G83">
        <v>244</v>
      </c>
      <c r="H83">
        <f t="shared" si="15"/>
        <v>244</v>
      </c>
      <c r="I83">
        <f t="shared" si="16"/>
        <v>-1625</v>
      </c>
      <c r="J83" s="4">
        <v>-0.65322236448997018</v>
      </c>
      <c r="K83" s="1">
        <f>I83*(1+82/100)</f>
        <v>-2957.4999999999995</v>
      </c>
      <c r="L83" s="1">
        <f t="shared" ref="L83:L91" si="21">1/(1+0.1)^(MAX($B$82:$B$91)-B83)</f>
        <v>0.90909090909090906</v>
      </c>
      <c r="M83" s="1">
        <f t="shared" si="17"/>
        <v>-2688.6363636363631</v>
      </c>
      <c r="O83" t="str">
        <f t="shared" si="18"/>
        <v/>
      </c>
      <c r="R83" s="1">
        <f t="shared" si="19"/>
        <v>106.88161693936476</v>
      </c>
    </row>
    <row r="84" spans="1:21" x14ac:dyDescent="0.3">
      <c r="A84" t="s">
        <v>32</v>
      </c>
      <c r="B84">
        <v>2016</v>
      </c>
      <c r="C84">
        <v>25146</v>
      </c>
      <c r="D84">
        <v>-1129</v>
      </c>
      <c r="E84">
        <v>-10.59</v>
      </c>
      <c r="F84">
        <v>-2167</v>
      </c>
      <c r="G84">
        <v>2519</v>
      </c>
      <c r="H84">
        <f t="shared" si="15"/>
        <v>2519</v>
      </c>
      <c r="I84">
        <f t="shared" si="16"/>
        <v>-4686</v>
      </c>
      <c r="J84" s="4">
        <v>1.7339556592765462</v>
      </c>
      <c r="K84" s="1">
        <f t="shared" ref="K84:K91" si="22">I84*(1+82/100)</f>
        <v>-8528.5199999999986</v>
      </c>
      <c r="L84" s="1">
        <f t="shared" si="21"/>
        <v>0.82644628099173545</v>
      </c>
      <c r="M84" s="1">
        <f t="shared" si="17"/>
        <v>-7048.3636363636342</v>
      </c>
      <c r="O84" t="str">
        <f t="shared" si="18"/>
        <v/>
      </c>
      <c r="R84" s="1">
        <f t="shared" si="19"/>
        <v>106.61000944287063</v>
      </c>
    </row>
    <row r="85" spans="1:21" x14ac:dyDescent="0.3">
      <c r="A85" t="s">
        <v>32</v>
      </c>
      <c r="B85">
        <v>2015</v>
      </c>
      <c r="C85">
        <v>31198</v>
      </c>
      <c r="D85">
        <v>-1682</v>
      </c>
      <c r="E85">
        <v>-15.82</v>
      </c>
      <c r="F85">
        <v>-1387</v>
      </c>
      <c r="G85">
        <v>327</v>
      </c>
      <c r="H85">
        <f t="shared" si="15"/>
        <v>327</v>
      </c>
      <c r="I85">
        <f t="shared" si="16"/>
        <v>-1714</v>
      </c>
      <c r="J85" s="4">
        <v>-3.3276931754089113E-2</v>
      </c>
      <c r="K85" s="1">
        <f t="shared" si="22"/>
        <v>-3119.4799999999996</v>
      </c>
      <c r="L85" s="1">
        <f t="shared" si="21"/>
        <v>0.75131480090157754</v>
      </c>
      <c r="M85" s="1">
        <f t="shared" si="17"/>
        <v>-2343.7114951164526</v>
      </c>
      <c r="O85" t="str">
        <f t="shared" si="18"/>
        <v/>
      </c>
      <c r="R85" s="1">
        <f t="shared" si="19"/>
        <v>106.32111251580278</v>
      </c>
    </row>
    <row r="86" spans="1:21" x14ac:dyDescent="0.3">
      <c r="A86" t="s">
        <v>32</v>
      </c>
      <c r="B86">
        <v>2014</v>
      </c>
      <c r="C86">
        <v>36188</v>
      </c>
      <c r="D86">
        <v>-1365</v>
      </c>
      <c r="E86">
        <v>-12.87</v>
      </c>
      <c r="F86">
        <v>-1109</v>
      </c>
      <c r="G86">
        <v>664</v>
      </c>
      <c r="H86">
        <f t="shared" si="15"/>
        <v>664</v>
      </c>
      <c r="I86">
        <f t="shared" si="16"/>
        <v>-1773</v>
      </c>
      <c r="J86" s="4">
        <v>2.5890688259109309</v>
      </c>
      <c r="K86" s="1">
        <f t="shared" si="22"/>
        <v>-3226.8599999999997</v>
      </c>
      <c r="L86" s="1">
        <f t="shared" si="21"/>
        <v>0.68301345536507052</v>
      </c>
      <c r="M86" s="1">
        <f t="shared" si="17"/>
        <v>-2203.9887985793312</v>
      </c>
      <c r="O86" t="str">
        <f t="shared" si="18"/>
        <v/>
      </c>
      <c r="R86" s="1">
        <f t="shared" si="19"/>
        <v>106.06060606060606</v>
      </c>
    </row>
    <row r="87" spans="1:21" x14ac:dyDescent="0.3">
      <c r="A87" t="s">
        <v>32</v>
      </c>
      <c r="B87">
        <v>2013</v>
      </c>
      <c r="C87">
        <v>39854</v>
      </c>
      <c r="D87">
        <v>-930</v>
      </c>
      <c r="E87">
        <v>-8.7799999999999994</v>
      </c>
      <c r="F87">
        <v>-303</v>
      </c>
      <c r="G87">
        <v>191</v>
      </c>
      <c r="H87">
        <f t="shared" si="15"/>
        <v>191</v>
      </c>
      <c r="I87">
        <f t="shared" si="16"/>
        <v>-494</v>
      </c>
      <c r="J87" s="4">
        <v>-0.1541095890410959</v>
      </c>
      <c r="K87" s="1">
        <f t="shared" si="22"/>
        <v>-899.07999999999993</v>
      </c>
      <c r="L87" s="1">
        <f t="shared" si="21"/>
        <v>0.62092132305915493</v>
      </c>
      <c r="M87" s="1">
        <f t="shared" si="17"/>
        <v>-558.25794313602501</v>
      </c>
      <c r="O87" t="str">
        <f t="shared" si="18"/>
        <v/>
      </c>
      <c r="R87" s="1">
        <f t="shared" si="19"/>
        <v>105.92255125284738</v>
      </c>
    </row>
    <row r="88" spans="1:21" x14ac:dyDescent="0.3">
      <c r="A88" t="s">
        <v>32</v>
      </c>
      <c r="B88">
        <v>2012</v>
      </c>
      <c r="C88">
        <v>41567</v>
      </c>
      <c r="D88">
        <v>-3140</v>
      </c>
      <c r="E88">
        <v>-29.4</v>
      </c>
      <c r="F88">
        <v>-275</v>
      </c>
      <c r="G88">
        <v>-309</v>
      </c>
      <c r="H88">
        <f t="shared" si="15"/>
        <v>309</v>
      </c>
      <c r="I88">
        <f t="shared" si="16"/>
        <v>-584</v>
      </c>
      <c r="J88" s="4">
        <v>1.0636042402826855</v>
      </c>
      <c r="K88" s="1">
        <f t="shared" si="22"/>
        <v>-1062.8799999999999</v>
      </c>
      <c r="L88" s="1">
        <f t="shared" si="21"/>
        <v>0.56447393005377722</v>
      </c>
      <c r="M88" s="1">
        <f t="shared" si="17"/>
        <v>-599.96805077555871</v>
      </c>
      <c r="O88" t="str">
        <f t="shared" si="18"/>
        <v/>
      </c>
      <c r="R88" s="1">
        <f t="shared" si="19"/>
        <v>106.80272108843538</v>
      </c>
    </row>
    <row r="89" spans="1:21" x14ac:dyDescent="0.3">
      <c r="A89" t="s">
        <v>32</v>
      </c>
      <c r="B89">
        <v>2011</v>
      </c>
      <c r="C89">
        <v>42664</v>
      </c>
      <c r="D89">
        <v>133</v>
      </c>
      <c r="E89">
        <v>1.19</v>
      </c>
      <c r="F89">
        <v>123</v>
      </c>
      <c r="G89">
        <v>-406</v>
      </c>
      <c r="H89">
        <f t="shared" si="15"/>
        <v>406</v>
      </c>
      <c r="I89">
        <f t="shared" si="16"/>
        <v>-283</v>
      </c>
      <c r="J89" s="4">
        <v>-1.2119850187265917</v>
      </c>
      <c r="K89" s="1">
        <f t="shared" si="22"/>
        <v>-515.05999999999995</v>
      </c>
      <c r="L89" s="1">
        <f t="shared" si="21"/>
        <v>0.51315811823070645</v>
      </c>
      <c r="M89" s="1">
        <f t="shared" si="17"/>
        <v>-264.30722037590766</v>
      </c>
      <c r="O89" t="str">
        <f t="shared" si="18"/>
        <v/>
      </c>
      <c r="R89" s="1">
        <f t="shared" si="19"/>
        <v>111.76470588235294</v>
      </c>
    </row>
    <row r="90" spans="1:21" x14ac:dyDescent="0.3">
      <c r="A90" t="s">
        <v>32</v>
      </c>
      <c r="B90">
        <v>2010</v>
      </c>
      <c r="C90">
        <v>43360</v>
      </c>
      <c r="D90">
        <v>235</v>
      </c>
      <c r="E90">
        <v>1.99</v>
      </c>
      <c r="F90">
        <v>1507</v>
      </c>
      <c r="G90">
        <v>-172</v>
      </c>
      <c r="H90">
        <f t="shared" si="15"/>
        <v>172</v>
      </c>
      <c r="I90">
        <f t="shared" si="16"/>
        <v>1335</v>
      </c>
      <c r="J90" s="4">
        <v>2.76056338028169</v>
      </c>
      <c r="K90" s="1">
        <f t="shared" si="22"/>
        <v>2429.6999999999998</v>
      </c>
      <c r="L90" s="1">
        <f t="shared" si="21"/>
        <v>0.46650738020973315</v>
      </c>
      <c r="M90" s="1">
        <f t="shared" si="17"/>
        <v>1133.4729816955885</v>
      </c>
      <c r="O90" t="str">
        <f t="shared" si="18"/>
        <v/>
      </c>
      <c r="R90" s="1">
        <f t="shared" si="19"/>
        <v>118.09045226130654</v>
      </c>
    </row>
    <row r="91" spans="1:21" x14ac:dyDescent="0.3">
      <c r="A91" t="s">
        <v>32</v>
      </c>
      <c r="B91">
        <v>2009</v>
      </c>
      <c r="C91">
        <v>46770</v>
      </c>
      <c r="D91">
        <v>53</v>
      </c>
      <c r="E91">
        <v>0.42</v>
      </c>
      <c r="F91">
        <v>992</v>
      </c>
      <c r="G91">
        <v>-637</v>
      </c>
      <c r="H91">
        <f t="shared" si="15"/>
        <v>637</v>
      </c>
      <c r="I91">
        <f t="shared" si="16"/>
        <v>355</v>
      </c>
      <c r="J91" s="4">
        <f>IF(OR(I91="",I90="",I90=0),"",ROUND((I91-I90)/ABS(I90),4))</f>
        <v>-0.73409999999999997</v>
      </c>
      <c r="K91" s="1">
        <f t="shared" si="22"/>
        <v>646.09999999999991</v>
      </c>
      <c r="L91" s="1">
        <f t="shared" si="21"/>
        <v>0.42409761837248466</v>
      </c>
      <c r="M91" s="1">
        <f t="shared" si="17"/>
        <v>274.00947123046228</v>
      </c>
      <c r="O91" t="str">
        <f t="shared" si="18"/>
        <v/>
      </c>
      <c r="P91" t="str">
        <f>IF(OR(SUM(M82:M91)=0,O91=""),"",ROUND(SUM(M82:M91)+O91,2))</f>
        <v/>
      </c>
      <c r="R91" s="1">
        <f t="shared" si="19"/>
        <v>126.19047619047619</v>
      </c>
    </row>
    <row r="92" spans="1:21" x14ac:dyDescent="0.3">
      <c r="A92" t="s">
        <v>34</v>
      </c>
      <c r="B92">
        <v>2022</v>
      </c>
      <c r="C92">
        <v>23182.6</v>
      </c>
      <c r="D92">
        <v>6177.4</v>
      </c>
      <c r="E92">
        <v>8.33</v>
      </c>
      <c r="F92">
        <v>7386.7</v>
      </c>
      <c r="G92">
        <v>-2678.1</v>
      </c>
      <c r="H92">
        <f t="shared" si="15"/>
        <v>2678.1</v>
      </c>
      <c r="I92">
        <f t="shared" si="16"/>
        <v>4708.6000000000004</v>
      </c>
      <c r="J92" s="4">
        <v>-0.32500931792769289</v>
      </c>
      <c r="K92" s="1">
        <v>2678.1</v>
      </c>
      <c r="L92" s="1">
        <f>1/(1+0.1)^(MAX($B$92:$B$105)-B92)</f>
        <v>1</v>
      </c>
      <c r="M92" s="1">
        <f t="shared" si="17"/>
        <v>2678.1</v>
      </c>
      <c r="N92" s="1">
        <f>IF(K92="","",K92*(1+0.03)/(0.1-0.03))</f>
        <v>39406.328571428567</v>
      </c>
      <c r="O92">
        <f t="shared" si="18"/>
        <v>39406.33</v>
      </c>
      <c r="P92" s="1">
        <f>SUM(M92:M105)+O92</f>
        <v>77365.812279490361</v>
      </c>
      <c r="Q92" s="5">
        <v>186.39</v>
      </c>
      <c r="R92" s="1">
        <f t="shared" si="19"/>
        <v>741.58463385354139</v>
      </c>
      <c r="S92" s="1">
        <f>P92/R92</f>
        <v>104.32499373331089</v>
      </c>
      <c r="T92" s="1">
        <f>(Q92*1000)/R92</f>
        <v>251.34015929031634</v>
      </c>
      <c r="U92" s="3">
        <f>((S92-T92)/T92)</f>
        <v>-0.5849250910483913</v>
      </c>
    </row>
    <row r="93" spans="1:21" x14ac:dyDescent="0.3">
      <c r="A93" t="s">
        <v>34</v>
      </c>
      <c r="B93">
        <v>2021</v>
      </c>
      <c r="C93">
        <v>23222.9</v>
      </c>
      <c r="D93">
        <v>7545.2</v>
      </c>
      <c r="E93">
        <v>10.039999999999999</v>
      </c>
      <c r="F93">
        <v>9141.5</v>
      </c>
      <c r="G93">
        <v>-2165.6999999999998</v>
      </c>
      <c r="H93">
        <f t="shared" si="15"/>
        <v>2165.6999999999998</v>
      </c>
      <c r="I93">
        <f t="shared" si="16"/>
        <v>6975.8</v>
      </c>
      <c r="J93" s="4">
        <v>0.47811162435902882</v>
      </c>
      <c r="K93" s="1">
        <f>I93*(1+J92/100)</f>
        <v>6953.1279999999997</v>
      </c>
      <c r="L93" s="1">
        <f t="shared" ref="L93:L99" si="23">1/(1+0.1)^(MAX($B$92:$B$99)-B93)</f>
        <v>0.90909090909090906</v>
      </c>
      <c r="M93" s="1">
        <f t="shared" si="17"/>
        <v>6321.0254545454536</v>
      </c>
      <c r="O93" t="str">
        <f t="shared" si="18"/>
        <v/>
      </c>
      <c r="R93" s="1">
        <f t="shared" si="19"/>
        <v>751.51394422310761</v>
      </c>
    </row>
    <row r="94" spans="1:21" x14ac:dyDescent="0.3">
      <c r="A94" t="s">
        <v>34</v>
      </c>
      <c r="B94">
        <v>2020</v>
      </c>
      <c r="C94">
        <v>19207.8</v>
      </c>
      <c r="D94">
        <v>4730.5</v>
      </c>
      <c r="E94">
        <v>6.31</v>
      </c>
      <c r="F94">
        <v>6265.2</v>
      </c>
      <c r="G94">
        <v>-1545.8</v>
      </c>
      <c r="H94">
        <f t="shared" si="15"/>
        <v>1545.8</v>
      </c>
      <c r="I94">
        <f t="shared" si="16"/>
        <v>4719.3999999999996</v>
      </c>
      <c r="J94" s="4">
        <v>-6.5650366264106183E-2</v>
      </c>
      <c r="K94" s="1">
        <f t="shared" ref="K94:K104" si="24">I94*(1+J93/100)</f>
        <v>4741.963999999999</v>
      </c>
      <c r="L94" s="1">
        <f t="shared" si="23"/>
        <v>0.82644628099173545</v>
      </c>
      <c r="M94" s="1">
        <f t="shared" si="17"/>
        <v>3918.9785123966931</v>
      </c>
      <c r="O94" t="str">
        <f t="shared" si="18"/>
        <v/>
      </c>
      <c r="R94" s="1">
        <f t="shared" si="19"/>
        <v>749.68304278922346</v>
      </c>
    </row>
    <row r="95" spans="1:21" x14ac:dyDescent="0.3">
      <c r="A95" t="s">
        <v>34</v>
      </c>
      <c r="B95">
        <v>2019</v>
      </c>
      <c r="C95">
        <v>21364.400000000001</v>
      </c>
      <c r="D95">
        <v>6025.4</v>
      </c>
      <c r="E95">
        <v>7.88</v>
      </c>
      <c r="F95">
        <v>8122.1</v>
      </c>
      <c r="G95">
        <v>-3071.1</v>
      </c>
      <c r="H95">
        <f t="shared" si="15"/>
        <v>3071.1</v>
      </c>
      <c r="I95">
        <f t="shared" si="16"/>
        <v>5051</v>
      </c>
      <c r="J95" s="4">
        <v>0.11955847149569988</v>
      </c>
      <c r="K95" s="1">
        <f t="shared" si="24"/>
        <v>5047.6840000000002</v>
      </c>
      <c r="L95" s="1">
        <f t="shared" si="23"/>
        <v>0.75131480090157754</v>
      </c>
      <c r="M95" s="1">
        <f t="shared" si="17"/>
        <v>3792.3996994740787</v>
      </c>
      <c r="O95" t="str">
        <f t="shared" si="18"/>
        <v/>
      </c>
      <c r="R95" s="1">
        <f t="shared" si="19"/>
        <v>764.64467005076142</v>
      </c>
    </row>
    <row r="96" spans="1:21" x14ac:dyDescent="0.3">
      <c r="A96" t="s">
        <v>34</v>
      </c>
      <c r="B96">
        <v>2018</v>
      </c>
      <c r="C96">
        <v>21257.9</v>
      </c>
      <c r="D96">
        <v>5924.3</v>
      </c>
      <c r="E96">
        <v>7.54</v>
      </c>
      <c r="F96">
        <v>6966.7</v>
      </c>
      <c r="G96">
        <v>-2455.1</v>
      </c>
      <c r="H96">
        <f t="shared" si="15"/>
        <v>2455.1</v>
      </c>
      <c r="I96">
        <f t="shared" si="16"/>
        <v>4511.6000000000004</v>
      </c>
      <c r="J96" s="4">
        <v>-9.5726769822817193E-2</v>
      </c>
      <c r="K96" s="1">
        <f t="shared" si="24"/>
        <v>4516.9940000000006</v>
      </c>
      <c r="L96" s="1">
        <f t="shared" si="23"/>
        <v>0.68301345536507052</v>
      </c>
      <c r="M96" s="1">
        <f t="shared" si="17"/>
        <v>3085.1676798032918</v>
      </c>
      <c r="O96" t="str">
        <f t="shared" si="18"/>
        <v/>
      </c>
      <c r="R96" s="1">
        <f t="shared" si="19"/>
        <v>785.71618037135283</v>
      </c>
    </row>
    <row r="97" spans="1:21" x14ac:dyDescent="0.3">
      <c r="A97" t="s">
        <v>34</v>
      </c>
      <c r="B97">
        <v>2017</v>
      </c>
      <c r="C97">
        <v>22820.400000000001</v>
      </c>
      <c r="D97">
        <v>5192.3</v>
      </c>
      <c r="E97">
        <v>6.37</v>
      </c>
      <c r="F97">
        <v>5551.2</v>
      </c>
      <c r="G97">
        <v>562</v>
      </c>
      <c r="H97">
        <f t="shared" si="15"/>
        <v>562</v>
      </c>
      <c r="I97">
        <f t="shared" si="16"/>
        <v>4989.2</v>
      </c>
      <c r="J97" s="4">
        <v>-1.7487199684915355E-2</v>
      </c>
      <c r="K97" s="1">
        <f t="shared" si="24"/>
        <v>4984.424</v>
      </c>
      <c r="L97" s="1">
        <f t="shared" si="23"/>
        <v>0.62092132305915493</v>
      </c>
      <c r="M97" s="1">
        <f t="shared" si="17"/>
        <v>3094.935144767805</v>
      </c>
      <c r="O97" t="str">
        <f t="shared" si="18"/>
        <v/>
      </c>
      <c r="R97" s="1">
        <f t="shared" si="19"/>
        <v>815.1177394034537</v>
      </c>
    </row>
    <row r="98" spans="1:21" x14ac:dyDescent="0.3">
      <c r="A98" t="s">
        <v>34</v>
      </c>
      <c r="B98">
        <v>2016</v>
      </c>
      <c r="C98">
        <v>24621.9</v>
      </c>
      <c r="D98">
        <v>4686.5</v>
      </c>
      <c r="E98">
        <v>5.44</v>
      </c>
      <c r="F98">
        <v>6059.6</v>
      </c>
      <c r="G98">
        <v>-981.6</v>
      </c>
      <c r="H98">
        <f t="shared" si="15"/>
        <v>981.6</v>
      </c>
      <c r="I98">
        <f t="shared" si="16"/>
        <v>5078</v>
      </c>
      <c r="J98" s="4">
        <v>-8.0287550545995109E-3</v>
      </c>
      <c r="K98" s="1">
        <f t="shared" si="24"/>
        <v>5077.1120000000001</v>
      </c>
      <c r="L98" s="1">
        <f t="shared" si="23"/>
        <v>0.56447393005377722</v>
      </c>
      <c r="M98" s="1">
        <f t="shared" si="17"/>
        <v>2865.8973639631931</v>
      </c>
      <c r="O98" t="str">
        <f t="shared" si="18"/>
        <v/>
      </c>
      <c r="R98" s="1">
        <f t="shared" si="19"/>
        <v>861.48897058823525</v>
      </c>
    </row>
    <row r="99" spans="1:21" x14ac:dyDescent="0.3">
      <c r="A99" t="s">
        <v>34</v>
      </c>
      <c r="B99">
        <v>2015</v>
      </c>
      <c r="C99">
        <v>25413</v>
      </c>
      <c r="D99">
        <v>4529.3</v>
      </c>
      <c r="E99">
        <v>4.8</v>
      </c>
      <c r="F99">
        <v>6539.1</v>
      </c>
      <c r="G99">
        <v>-1420</v>
      </c>
      <c r="H99">
        <f t="shared" si="15"/>
        <v>1420</v>
      </c>
      <c r="I99">
        <f t="shared" si="16"/>
        <v>5119.1000000000004</v>
      </c>
      <c r="J99" s="4">
        <v>0.15675419171148389</v>
      </c>
      <c r="K99" s="1">
        <f t="shared" si="24"/>
        <v>5118.6890000000003</v>
      </c>
      <c r="L99" s="1">
        <f t="shared" si="23"/>
        <v>0.51315811823070645</v>
      </c>
      <c r="M99" s="1">
        <f t="shared" si="17"/>
        <v>2626.6968150482166</v>
      </c>
      <c r="O99" t="str">
        <f t="shared" si="18"/>
        <v/>
      </c>
      <c r="R99" s="1">
        <f t="shared" si="19"/>
        <v>943.60416666666674</v>
      </c>
    </row>
    <row r="100" spans="1:21" x14ac:dyDescent="0.3">
      <c r="A100" t="s">
        <v>34</v>
      </c>
      <c r="B100">
        <v>2014</v>
      </c>
      <c r="C100">
        <v>27441.3</v>
      </c>
      <c r="D100">
        <v>4757.8</v>
      </c>
      <c r="E100">
        <v>4.82</v>
      </c>
      <c r="F100">
        <v>6730.3</v>
      </c>
      <c r="G100">
        <v>-2304.9</v>
      </c>
      <c r="H100">
        <f t="shared" si="15"/>
        <v>2304.9</v>
      </c>
      <c r="I100">
        <f t="shared" si="16"/>
        <v>4425.3999999999996</v>
      </c>
      <c r="J100" s="4">
        <v>-4.8348287571116965E-3</v>
      </c>
      <c r="K100" s="1">
        <f t="shared" si="24"/>
        <v>4432.3369999999995</v>
      </c>
      <c r="L100" s="1">
        <f t="shared" ref="L100:L105" si="25">1/(1+0.1)^(MAX($B$31:$B$44)-B100)</f>
        <v>0.46650738020973315</v>
      </c>
      <c r="M100" s="1">
        <f t="shared" si="17"/>
        <v>2067.7179220766679</v>
      </c>
      <c r="O100" t="str">
        <f t="shared" si="18"/>
        <v/>
      </c>
      <c r="R100" s="1">
        <f t="shared" si="19"/>
        <v>987.09543568464733</v>
      </c>
    </row>
    <row r="101" spans="1:21" x14ac:dyDescent="0.3">
      <c r="A101" t="s">
        <v>34</v>
      </c>
      <c r="B101">
        <v>2013</v>
      </c>
      <c r="C101">
        <v>28105.7</v>
      </c>
      <c r="D101">
        <v>5585.9</v>
      </c>
      <c r="E101">
        <v>5.55</v>
      </c>
      <c r="F101">
        <v>7120.7</v>
      </c>
      <c r="G101">
        <v>-2673.8</v>
      </c>
      <c r="H101">
        <f t="shared" si="15"/>
        <v>2673.8</v>
      </c>
      <c r="I101">
        <f t="shared" si="16"/>
        <v>4446.8999999999996</v>
      </c>
      <c r="J101" s="4">
        <v>0.17060650731810031</v>
      </c>
      <c r="K101" s="1">
        <f t="shared" si="24"/>
        <v>4446.6849999999995</v>
      </c>
      <c r="L101" s="1">
        <f t="shared" si="25"/>
        <v>0.42409761837248466</v>
      </c>
      <c r="M101" s="1">
        <f t="shared" si="17"/>
        <v>1885.8285181526517</v>
      </c>
      <c r="O101" t="str">
        <f t="shared" si="18"/>
        <v/>
      </c>
      <c r="R101" s="1">
        <f t="shared" si="19"/>
        <v>1006.4684684684685</v>
      </c>
    </row>
    <row r="102" spans="1:21" x14ac:dyDescent="0.3">
      <c r="A102" t="s">
        <v>34</v>
      </c>
      <c r="B102">
        <v>2012</v>
      </c>
      <c r="C102">
        <v>27567</v>
      </c>
      <c r="D102">
        <v>5464.8</v>
      </c>
      <c r="E102">
        <v>5.36</v>
      </c>
      <c r="F102">
        <v>6966.1</v>
      </c>
      <c r="G102">
        <v>-3167.3</v>
      </c>
      <c r="H102">
        <f t="shared" si="15"/>
        <v>3167.3</v>
      </c>
      <c r="I102">
        <f t="shared" si="16"/>
        <v>3798.8</v>
      </c>
      <c r="J102" s="4">
        <v>-0.17042278127183796</v>
      </c>
      <c r="K102" s="1">
        <f t="shared" si="24"/>
        <v>3805.2810000000004</v>
      </c>
      <c r="L102" s="1">
        <f t="shared" si="25"/>
        <v>0.38554328942953148</v>
      </c>
      <c r="M102" s="1">
        <f t="shared" si="17"/>
        <v>1467.1005539436972</v>
      </c>
      <c r="O102" t="str">
        <f t="shared" si="18"/>
        <v/>
      </c>
      <c r="R102" s="1">
        <f t="shared" si="19"/>
        <v>1019.5522388059701</v>
      </c>
    </row>
    <row r="103" spans="1:21" x14ac:dyDescent="0.3">
      <c r="A103" t="s">
        <v>34</v>
      </c>
      <c r="B103">
        <v>2011</v>
      </c>
      <c r="C103">
        <v>27006</v>
      </c>
      <c r="D103">
        <v>5503.1</v>
      </c>
      <c r="E103">
        <v>5.27</v>
      </c>
      <c r="F103">
        <v>7150.1</v>
      </c>
      <c r="G103">
        <v>-2570.9</v>
      </c>
      <c r="H103">
        <f t="shared" si="15"/>
        <v>2570.9</v>
      </c>
      <c r="I103">
        <f t="shared" si="16"/>
        <v>4579.2000000000007</v>
      </c>
      <c r="J103" s="4">
        <v>6.850849355982834E-2</v>
      </c>
      <c r="K103" s="1">
        <f t="shared" si="24"/>
        <v>4571.3960000000006</v>
      </c>
      <c r="L103" s="1">
        <f t="shared" si="25"/>
        <v>0.3504938994813922</v>
      </c>
      <c r="M103" s="1">
        <f t="shared" si="17"/>
        <v>1602.2464101136386</v>
      </c>
      <c r="O103" t="str">
        <f t="shared" si="18"/>
        <v/>
      </c>
      <c r="R103" s="1">
        <f t="shared" si="19"/>
        <v>1044.2314990512336</v>
      </c>
    </row>
    <row r="104" spans="1:21" x14ac:dyDescent="0.3">
      <c r="A104" t="s">
        <v>34</v>
      </c>
      <c r="B104">
        <v>2010</v>
      </c>
      <c r="C104">
        <v>24074.6</v>
      </c>
      <c r="D104">
        <v>4946.3</v>
      </c>
      <c r="E104">
        <v>4.58</v>
      </c>
      <c r="F104">
        <v>6341.6</v>
      </c>
      <c r="G104">
        <v>-2056</v>
      </c>
      <c r="H104">
        <f t="shared" si="15"/>
        <v>2056</v>
      </c>
      <c r="I104">
        <f t="shared" si="16"/>
        <v>4285.6000000000004</v>
      </c>
      <c r="J104" s="4">
        <v>4.6365700612837991E-2</v>
      </c>
      <c r="K104" s="1">
        <f t="shared" si="24"/>
        <v>4288.536000000001</v>
      </c>
      <c r="L104" s="1">
        <f t="shared" si="25"/>
        <v>0.31863081771035656</v>
      </c>
      <c r="M104" s="1">
        <f t="shared" si="17"/>
        <v>1366.4597324603019</v>
      </c>
      <c r="O104" t="str">
        <f t="shared" si="18"/>
        <v/>
      </c>
      <c r="R104" s="1">
        <f t="shared" si="19"/>
        <v>1079.9781659388645</v>
      </c>
    </row>
    <row r="105" spans="1:21" x14ac:dyDescent="0.3">
      <c r="A105" t="s">
        <v>34</v>
      </c>
      <c r="B105">
        <v>2009</v>
      </c>
      <c r="C105">
        <v>22744.7</v>
      </c>
      <c r="D105">
        <v>4551</v>
      </c>
      <c r="E105">
        <v>4.1100000000000003</v>
      </c>
      <c r="F105">
        <v>5751</v>
      </c>
      <c r="G105">
        <v>-1655.3</v>
      </c>
      <c r="H105">
        <f t="shared" si="15"/>
        <v>1655.3</v>
      </c>
      <c r="I105">
        <f t="shared" si="16"/>
        <v>4095.7</v>
      </c>
      <c r="J105" s="4">
        <f>IF(OR(I104=0,I105=""),"",ROUND((I105-I104)/I104,4))</f>
        <v>-4.4299999999999999E-2</v>
      </c>
      <c r="K105" s="1">
        <f>I105*(1+J104/100)</f>
        <v>4097.5989999999993</v>
      </c>
      <c r="L105" s="1">
        <f t="shared" si="25"/>
        <v>0.28966437973668779</v>
      </c>
      <c r="M105" s="1">
        <f t="shared" si="17"/>
        <v>1186.928472744672</v>
      </c>
      <c r="O105" t="str">
        <f t="shared" si="18"/>
        <v/>
      </c>
      <c r="P105" t="str">
        <f>IF(OR(SUM(M92:M105)=0,O105=""),"",ROUND(SUM(M92:M105)+O105,2))</f>
        <v/>
      </c>
      <c r="R105" s="1">
        <f t="shared" si="19"/>
        <v>1107.2992700729926</v>
      </c>
    </row>
    <row r="106" spans="1:21" x14ac:dyDescent="0.3">
      <c r="A106" t="s">
        <v>36</v>
      </c>
      <c r="B106">
        <v>2022</v>
      </c>
      <c r="C106">
        <v>30868.080000000002</v>
      </c>
      <c r="D106">
        <v>6212.9489999999996</v>
      </c>
      <c r="E106">
        <v>1.4743999999999999</v>
      </c>
      <c r="F106">
        <v>37392.720000000001</v>
      </c>
      <c r="G106">
        <v>-26807.33</v>
      </c>
      <c r="H106">
        <f t="shared" si="15"/>
        <v>26807.33</v>
      </c>
      <c r="I106">
        <f t="shared" si="16"/>
        <v>10585.39</v>
      </c>
      <c r="J106" s="4">
        <v>-0.82759064663960002</v>
      </c>
      <c r="K106" s="1">
        <v>10585.39</v>
      </c>
      <c r="L106" s="1">
        <f>1/(1+0.1)^(MAX($B$106:$B$119)-B106)</f>
        <v>1</v>
      </c>
      <c r="M106" s="1">
        <f t="shared" si="17"/>
        <v>10585.39</v>
      </c>
      <c r="N106" s="1">
        <f>IF(K106="","",K106*(1+0.03)/(0.1-0.03))</f>
        <v>155756.45285714284</v>
      </c>
      <c r="O106">
        <f t="shared" si="18"/>
        <v>155756.45000000001</v>
      </c>
      <c r="P106" s="1">
        <f>SUM(M106:M119)+O106</f>
        <v>253771.62582276468</v>
      </c>
      <c r="Q106" s="5">
        <v>32.53</v>
      </c>
      <c r="R106" s="1">
        <f t="shared" si="19"/>
        <v>4213.8829354313621</v>
      </c>
      <c r="S106" s="1">
        <f>P106/R106</f>
        <v>60.222751725965274</v>
      </c>
      <c r="T106" s="1">
        <f>(Q106*1000)/R106</f>
        <v>7.7197208604158831</v>
      </c>
      <c r="U106" s="3">
        <f>((S106-T106)/T106)</f>
        <v>6.8011566499466545</v>
      </c>
    </row>
    <row r="107" spans="1:21" x14ac:dyDescent="0.3">
      <c r="A107" t="s">
        <v>36</v>
      </c>
      <c r="B107">
        <v>2021</v>
      </c>
      <c r="C107">
        <v>30169.69</v>
      </c>
      <c r="D107">
        <v>8766.2630000000008</v>
      </c>
      <c r="E107">
        <v>2.0131000000000001</v>
      </c>
      <c r="F107">
        <v>67268.52</v>
      </c>
      <c r="G107">
        <v>5871.6769999999997</v>
      </c>
      <c r="H107">
        <f t="shared" si="15"/>
        <v>5871.6769999999997</v>
      </c>
      <c r="I107">
        <f t="shared" si="16"/>
        <v>61396.843000000008</v>
      </c>
      <c r="J107" s="4">
        <v>0.2220310284457277</v>
      </c>
      <c r="K107" s="1">
        <f>I107*(1+J106/100)</f>
        <v>60888.728470000009</v>
      </c>
      <c r="L107" s="1">
        <f t="shared" ref="L107:L119" si="26">1/(1+0.1)^(MAX($B$106:$B$119)-B107)</f>
        <v>0.90909090909090906</v>
      </c>
      <c r="M107" s="1">
        <f t="shared" si="17"/>
        <v>55353.389518181822</v>
      </c>
      <c r="O107" t="str">
        <f t="shared" si="18"/>
        <v/>
      </c>
      <c r="R107" s="1">
        <f t="shared" si="19"/>
        <v>4354.6088122795691</v>
      </c>
    </row>
    <row r="108" spans="1:21" x14ac:dyDescent="0.3">
      <c r="A108" t="s">
        <v>36</v>
      </c>
      <c r="B108">
        <v>2020</v>
      </c>
      <c r="C108">
        <v>27947.54</v>
      </c>
      <c r="D108">
        <v>1959.384</v>
      </c>
      <c r="E108">
        <v>0.44159999999999999</v>
      </c>
      <c r="F108">
        <v>73836.42</v>
      </c>
      <c r="G108">
        <v>-23594.78</v>
      </c>
      <c r="H108">
        <f t="shared" si="15"/>
        <v>23594.78</v>
      </c>
      <c r="I108">
        <f t="shared" si="16"/>
        <v>50241.64</v>
      </c>
      <c r="J108" s="4">
        <v>-2.5662818947277191</v>
      </c>
      <c r="K108" s="1">
        <f t="shared" ref="K108:K119" si="27">I108*(1+J107/100)</f>
        <v>50353.192030000006</v>
      </c>
      <c r="L108" s="1">
        <f t="shared" si="26"/>
        <v>0.82644628099173545</v>
      </c>
      <c r="M108" s="1">
        <f t="shared" si="17"/>
        <v>41614.208289256196</v>
      </c>
      <c r="O108" t="str">
        <f t="shared" si="18"/>
        <v/>
      </c>
      <c r="R108" s="1">
        <f t="shared" si="19"/>
        <v>4437.0108695652179</v>
      </c>
    </row>
    <row r="109" spans="1:21" x14ac:dyDescent="0.3">
      <c r="A109" t="s">
        <v>36</v>
      </c>
      <c r="B109">
        <v>2019</v>
      </c>
      <c r="C109">
        <v>27621.9</v>
      </c>
      <c r="D109">
        <v>4180.5709999999999</v>
      </c>
      <c r="E109">
        <v>0.72</v>
      </c>
      <c r="F109">
        <v>-15699.49</v>
      </c>
      <c r="G109">
        <v>-16377.52</v>
      </c>
      <c r="H109">
        <f t="shared" si="15"/>
        <v>16377.52</v>
      </c>
      <c r="I109">
        <f t="shared" si="16"/>
        <v>-32077.010000000002</v>
      </c>
      <c r="J109" s="4">
        <v>-4.0703106176681603</v>
      </c>
      <c r="K109" s="1">
        <f t="shared" si="27"/>
        <v>-31253.823500000002</v>
      </c>
      <c r="L109" s="1">
        <f t="shared" si="26"/>
        <v>0.75131480090157754</v>
      </c>
      <c r="M109" s="1">
        <f t="shared" si="17"/>
        <v>-23481.460180315546</v>
      </c>
      <c r="O109" t="str">
        <f t="shared" si="18"/>
        <v/>
      </c>
      <c r="R109" s="1">
        <f t="shared" si="19"/>
        <v>5806.3486111111115</v>
      </c>
    </row>
    <row r="110" spans="1:21" x14ac:dyDescent="0.3">
      <c r="A110" t="s">
        <v>36</v>
      </c>
      <c r="B110">
        <v>2018</v>
      </c>
      <c r="C110">
        <v>28212.33</v>
      </c>
      <c r="D110">
        <v>1860.711</v>
      </c>
      <c r="E110">
        <v>0.49120000000000003</v>
      </c>
      <c r="F110">
        <v>11351.14</v>
      </c>
      <c r="G110">
        <v>903.65959999999995</v>
      </c>
      <c r="H110">
        <f t="shared" si="15"/>
        <v>903.65959999999995</v>
      </c>
      <c r="I110">
        <f t="shared" si="16"/>
        <v>10447.4804</v>
      </c>
      <c r="J110" s="4">
        <v>-0.85830267265056603</v>
      </c>
      <c r="K110" s="1">
        <f t="shared" si="27"/>
        <v>10022.235496000001</v>
      </c>
      <c r="L110" s="1">
        <f t="shared" si="26"/>
        <v>0.68301345536507052</v>
      </c>
      <c r="M110" s="1">
        <f t="shared" si="17"/>
        <v>6845.3216966054224</v>
      </c>
      <c r="O110" t="str">
        <f t="shared" si="18"/>
        <v/>
      </c>
      <c r="R110" s="1">
        <f t="shared" si="19"/>
        <v>3788.0924267100977</v>
      </c>
    </row>
    <row r="111" spans="1:21" x14ac:dyDescent="0.3">
      <c r="A111" t="s">
        <v>36</v>
      </c>
      <c r="B111">
        <v>2017</v>
      </c>
      <c r="C111">
        <v>27162.75</v>
      </c>
      <c r="D111">
        <v>-2477.0729999999999</v>
      </c>
      <c r="E111">
        <v>-0.57299999999999995</v>
      </c>
      <c r="F111">
        <v>78244.34</v>
      </c>
      <c r="G111">
        <v>4513.3770000000004</v>
      </c>
      <c r="H111">
        <f t="shared" si="15"/>
        <v>4513.3770000000004</v>
      </c>
      <c r="I111">
        <f t="shared" si="16"/>
        <v>73730.962999999989</v>
      </c>
      <c r="J111" s="4">
        <v>-3.1400398164692382</v>
      </c>
      <c r="K111" s="1">
        <f t="shared" si="27"/>
        <v>73098.128173999983</v>
      </c>
      <c r="L111" s="1">
        <f t="shared" si="26"/>
        <v>0.62092132305915493</v>
      </c>
      <c r="M111" s="1">
        <f t="shared" si="17"/>
        <v>45388.186458947755</v>
      </c>
      <c r="O111" t="str">
        <f t="shared" si="18"/>
        <v/>
      </c>
      <c r="R111" s="1">
        <f t="shared" si="19"/>
        <v>4322.9895287958116</v>
      </c>
    </row>
    <row r="112" spans="1:21" x14ac:dyDescent="0.3">
      <c r="A112" t="s">
        <v>36</v>
      </c>
      <c r="B112">
        <v>2016</v>
      </c>
      <c r="C112">
        <v>29072.54</v>
      </c>
      <c r="D112">
        <v>2373.13</v>
      </c>
      <c r="E112">
        <v>0.55840000000000001</v>
      </c>
      <c r="F112">
        <v>15295.92</v>
      </c>
      <c r="G112">
        <v>49749</v>
      </c>
      <c r="H112">
        <f t="shared" si="15"/>
        <v>49749</v>
      </c>
      <c r="I112">
        <f t="shared" si="16"/>
        <v>-34453.08</v>
      </c>
      <c r="J112" s="4">
        <v>-3.9286576471508283</v>
      </c>
      <c r="K112" s="1">
        <f t="shared" si="27"/>
        <v>-33371.239569999998</v>
      </c>
      <c r="L112" s="1">
        <f t="shared" si="26"/>
        <v>0.56447393005377722</v>
      </c>
      <c r="M112" s="1">
        <f t="shared" si="17"/>
        <v>-18837.194750844021</v>
      </c>
      <c r="O112" t="str">
        <f t="shared" si="18"/>
        <v/>
      </c>
      <c r="R112" s="1">
        <f t="shared" si="19"/>
        <v>4249.8746418338114</v>
      </c>
    </row>
    <row r="113" spans="1:21" x14ac:dyDescent="0.3">
      <c r="A113" t="s">
        <v>36</v>
      </c>
      <c r="B113">
        <v>2015</v>
      </c>
      <c r="C113">
        <v>38919.160000000003</v>
      </c>
      <c r="D113">
        <v>-495.39600000000002</v>
      </c>
      <c r="E113">
        <v>-0.1162</v>
      </c>
      <c r="F113">
        <v>24659.71</v>
      </c>
      <c r="G113">
        <v>-12895.59</v>
      </c>
      <c r="H113">
        <f t="shared" si="15"/>
        <v>12895.59</v>
      </c>
      <c r="I113">
        <f t="shared" si="16"/>
        <v>11764.119999999999</v>
      </c>
      <c r="J113" s="4">
        <v>-1.338357447239326</v>
      </c>
      <c r="K113" s="1">
        <f t="shared" si="27"/>
        <v>11301.948</v>
      </c>
      <c r="L113" s="1">
        <f t="shared" si="26"/>
        <v>0.51315811823070645</v>
      </c>
      <c r="M113" s="1">
        <f t="shared" si="17"/>
        <v>5799.6863680212964</v>
      </c>
      <c r="O113" t="str">
        <f t="shared" si="18"/>
        <v/>
      </c>
      <c r="R113" s="1">
        <f t="shared" si="19"/>
        <v>4263.3046471600692</v>
      </c>
    </row>
    <row r="114" spans="1:21" x14ac:dyDescent="0.3">
      <c r="A114" t="s">
        <v>36</v>
      </c>
      <c r="B114">
        <v>2014</v>
      </c>
      <c r="C114">
        <v>41677.15</v>
      </c>
      <c r="D114">
        <v>-197.77160000000001</v>
      </c>
      <c r="E114">
        <v>-4.5999999999999999E-2</v>
      </c>
      <c r="F114">
        <v>-17207.810000000001</v>
      </c>
      <c r="G114">
        <v>17560.509999999998</v>
      </c>
      <c r="H114">
        <f t="shared" si="15"/>
        <v>17560.509999999998</v>
      </c>
      <c r="I114">
        <f t="shared" si="16"/>
        <v>-34768.32</v>
      </c>
      <c r="J114" s="4">
        <v>-0.53535160227917244</v>
      </c>
      <c r="K114" s="1">
        <f t="shared" si="27"/>
        <v>-34302.995600000002</v>
      </c>
      <c r="L114" s="1">
        <f t="shared" si="26"/>
        <v>0.46650738020973315</v>
      </c>
      <c r="M114" s="1">
        <f t="shared" si="17"/>
        <v>-16002.600610702004</v>
      </c>
      <c r="O114" t="str">
        <f t="shared" si="18"/>
        <v/>
      </c>
      <c r="R114" s="1">
        <f t="shared" si="19"/>
        <v>4299.3826086956524</v>
      </c>
    </row>
    <row r="115" spans="1:21" x14ac:dyDescent="0.3">
      <c r="A115" t="s">
        <v>36</v>
      </c>
      <c r="B115">
        <v>2013</v>
      </c>
      <c r="C115">
        <v>43712.69</v>
      </c>
      <c r="D115">
        <v>846.55679999999995</v>
      </c>
      <c r="E115">
        <v>0.23200000000000001</v>
      </c>
      <c r="F115">
        <v>-39392.269999999997</v>
      </c>
      <c r="G115">
        <v>-35434.89</v>
      </c>
      <c r="H115">
        <f t="shared" si="15"/>
        <v>35434.89</v>
      </c>
      <c r="I115">
        <f t="shared" si="16"/>
        <v>-74827.16</v>
      </c>
      <c r="J115" s="4">
        <v>1.2679116659887628</v>
      </c>
      <c r="K115" s="1">
        <f t="shared" si="27"/>
        <v>-74426.571599999996</v>
      </c>
      <c r="L115" s="1">
        <f t="shared" si="26"/>
        <v>0.42409761837248466</v>
      </c>
      <c r="M115" s="1">
        <f t="shared" si="17"/>
        <v>-31564.131759189204</v>
      </c>
      <c r="O115" t="str">
        <f t="shared" si="18"/>
        <v/>
      </c>
      <c r="R115" s="1">
        <f t="shared" si="19"/>
        <v>3648.9517241379308</v>
      </c>
    </row>
    <row r="116" spans="1:21" x14ac:dyDescent="0.3">
      <c r="A116" t="s">
        <v>36</v>
      </c>
      <c r="B116">
        <v>2012</v>
      </c>
      <c r="C116">
        <v>46036.06</v>
      </c>
      <c r="D116">
        <v>-1650.0889999999999</v>
      </c>
      <c r="E116">
        <v>-0.53900000000000003</v>
      </c>
      <c r="F116">
        <v>-21741.23</v>
      </c>
      <c r="G116">
        <v>-11252.63</v>
      </c>
      <c r="H116">
        <f t="shared" si="15"/>
        <v>11252.63</v>
      </c>
      <c r="I116">
        <f t="shared" si="16"/>
        <v>-32993.86</v>
      </c>
      <c r="J116" s="4">
        <v>-1.7569702980700779</v>
      </c>
      <c r="K116" s="1">
        <f t="shared" si="27"/>
        <v>-33412.192999999999</v>
      </c>
      <c r="L116" s="1">
        <f t="shared" si="26"/>
        <v>0.38554328942953148</v>
      </c>
      <c r="M116" s="1">
        <f t="shared" si="17"/>
        <v>-12881.846796274365</v>
      </c>
      <c r="O116" t="str">
        <f t="shared" si="18"/>
        <v/>
      </c>
      <c r="R116" s="1">
        <f t="shared" si="19"/>
        <v>3061.38961038961</v>
      </c>
    </row>
    <row r="117" spans="1:21" x14ac:dyDescent="0.3">
      <c r="A117" t="s">
        <v>36</v>
      </c>
      <c r="B117">
        <v>2011</v>
      </c>
      <c r="C117">
        <v>48866.82</v>
      </c>
      <c r="D117">
        <v>6338.98</v>
      </c>
      <c r="E117">
        <v>1.54</v>
      </c>
      <c r="F117">
        <v>46654.34</v>
      </c>
      <c r="G117">
        <v>-3067.61</v>
      </c>
      <c r="H117">
        <f t="shared" si="15"/>
        <v>3067.61</v>
      </c>
      <c r="I117">
        <f t="shared" si="16"/>
        <v>43586.729999999996</v>
      </c>
      <c r="J117" s="4">
        <v>1.158493012227426</v>
      </c>
      <c r="K117" s="1">
        <f t="shared" si="27"/>
        <v>42820.924099999997</v>
      </c>
      <c r="L117" s="1">
        <f t="shared" si="26"/>
        <v>0.3504938994813922</v>
      </c>
      <c r="M117" s="1">
        <f t="shared" si="17"/>
        <v>15008.472667205724</v>
      </c>
      <c r="O117" t="str">
        <f t="shared" si="18"/>
        <v/>
      </c>
      <c r="R117" s="1">
        <f t="shared" si="19"/>
        <v>4116.2207792207791</v>
      </c>
    </row>
    <row r="118" spans="1:21" x14ac:dyDescent="0.3">
      <c r="A118" t="s">
        <v>36</v>
      </c>
      <c r="B118">
        <v>2010</v>
      </c>
      <c r="C118">
        <v>49030.07</v>
      </c>
      <c r="D118">
        <v>7034.11</v>
      </c>
      <c r="E118">
        <v>1.84</v>
      </c>
      <c r="F118">
        <v>28894.16</v>
      </c>
      <c r="G118">
        <v>-8701.0300000000007</v>
      </c>
      <c r="H118">
        <f t="shared" si="15"/>
        <v>8701.0300000000007</v>
      </c>
      <c r="I118">
        <f t="shared" si="16"/>
        <v>20193.129999999997</v>
      </c>
      <c r="J118" s="4">
        <v>-0.57485345876475658</v>
      </c>
      <c r="K118" s="1">
        <f t="shared" si="27"/>
        <v>20427.065999999999</v>
      </c>
      <c r="L118" s="1">
        <f t="shared" si="26"/>
        <v>0.31863081771035656</v>
      </c>
      <c r="M118" s="1">
        <f t="shared" si="17"/>
        <v>6508.692743003422</v>
      </c>
      <c r="O118" t="str">
        <f t="shared" si="18"/>
        <v/>
      </c>
      <c r="R118" s="1">
        <f t="shared" si="19"/>
        <v>3822.885869565217</v>
      </c>
    </row>
    <row r="119" spans="1:21" x14ac:dyDescent="0.3">
      <c r="A119" t="s">
        <v>36</v>
      </c>
      <c r="B119">
        <v>2009</v>
      </c>
      <c r="C119">
        <v>45992.04</v>
      </c>
      <c r="D119">
        <v>5497.87</v>
      </c>
      <c r="E119">
        <v>5.12</v>
      </c>
      <c r="F119">
        <v>65523.51</v>
      </c>
      <c r="G119">
        <v>18026.64</v>
      </c>
      <c r="H119">
        <f t="shared" si="15"/>
        <v>18026.64</v>
      </c>
      <c r="I119">
        <f t="shared" si="16"/>
        <v>47496.87</v>
      </c>
      <c r="J119" s="4">
        <f>IF(OR(I118=0,I119=0),"",ROUND(((I118-I119)/I119)/100,2))</f>
        <v>-0.01</v>
      </c>
      <c r="K119" s="1">
        <f t="shared" si="27"/>
        <v>47223.832600000002</v>
      </c>
      <c r="L119" s="1">
        <f t="shared" si="26"/>
        <v>0.28966437973668779</v>
      </c>
      <c r="M119" s="1">
        <f t="shared" si="17"/>
        <v>13679.062178868176</v>
      </c>
      <c r="O119" t="str">
        <f t="shared" si="18"/>
        <v/>
      </c>
      <c r="P119" t="str">
        <f>IF(OR(SUM(M106:M119)=0,O119=""),"",ROUND(SUM(M106:M119)+O119,2))</f>
        <v/>
      </c>
      <c r="R119" s="1">
        <f t="shared" si="19"/>
        <v>1073.802734375</v>
      </c>
    </row>
    <row r="120" spans="1:21" x14ac:dyDescent="0.3">
      <c r="A120" t="s">
        <v>38</v>
      </c>
      <c r="B120">
        <v>2023</v>
      </c>
      <c r="C120">
        <v>26974</v>
      </c>
      <c r="D120">
        <v>4368</v>
      </c>
      <c r="E120">
        <v>1.74</v>
      </c>
      <c r="F120">
        <v>5641</v>
      </c>
      <c r="G120">
        <v>7375</v>
      </c>
      <c r="H120">
        <f t="shared" si="15"/>
        <v>7375</v>
      </c>
      <c r="I120">
        <f t="shared" si="16"/>
        <v>-1734</v>
      </c>
      <c r="J120" s="4">
        <v>1.4016620498614958</v>
      </c>
      <c r="K120" s="1">
        <v>-1734</v>
      </c>
      <c r="L120" s="1">
        <f>1/(1+0.1)^(MAX($B$120:$B$134)-B120)</f>
        <v>1</v>
      </c>
      <c r="M120" s="1">
        <f t="shared" si="17"/>
        <v>-1734</v>
      </c>
      <c r="N120" s="1">
        <f>IF(K120="","",K120*(1+0.03)/(0.1-0.03))</f>
        <v>-25514.571428571428</v>
      </c>
      <c r="O120">
        <f t="shared" si="18"/>
        <v>-25514.57</v>
      </c>
      <c r="P120" s="1">
        <f>SUM(M120:M134)+O120</f>
        <v>-38311.958491928861</v>
      </c>
      <c r="Q120" s="5">
        <v>1000.35</v>
      </c>
      <c r="R120" s="1">
        <f t="shared" si="19"/>
        <v>2510.344827586207</v>
      </c>
      <c r="S120" s="1">
        <f>P120/R120</f>
        <v>-15.261631816839794</v>
      </c>
      <c r="T120" s="1">
        <f>(Q120*1000)/R120</f>
        <v>398.49107142857139</v>
      </c>
      <c r="U120" s="3">
        <f>((S120-T120)/T120)</f>
        <v>-1.0382985539980296</v>
      </c>
    </row>
    <row r="121" spans="1:21" x14ac:dyDescent="0.3">
      <c r="A121" t="s">
        <v>38</v>
      </c>
      <c r="B121">
        <v>2022</v>
      </c>
      <c r="C121">
        <v>26914</v>
      </c>
      <c r="D121">
        <v>9752</v>
      </c>
      <c r="E121">
        <v>3.85</v>
      </c>
      <c r="F121">
        <v>9108</v>
      </c>
      <c r="G121">
        <v>-9830</v>
      </c>
      <c r="H121">
        <f t="shared" si="15"/>
        <v>9830</v>
      </c>
      <c r="I121">
        <f t="shared" si="16"/>
        <v>-722</v>
      </c>
      <c r="J121" s="4">
        <v>-0.94788132534469072</v>
      </c>
      <c r="K121" s="1">
        <f>I121*(1+J120/100)</f>
        <v>-732.12</v>
      </c>
      <c r="L121" s="1">
        <f t="shared" ref="L121:L134" si="28">1/(1+0.1)^(MAX($B$120:$B$134)-B121)</f>
        <v>0.90909090909090906</v>
      </c>
      <c r="M121" s="1">
        <f t="shared" si="17"/>
        <v>-665.56363636363631</v>
      </c>
      <c r="O121" t="str">
        <f t="shared" si="18"/>
        <v/>
      </c>
      <c r="R121" s="1">
        <f t="shared" si="19"/>
        <v>2532.9870129870128</v>
      </c>
    </row>
    <row r="122" spans="1:21" x14ac:dyDescent="0.3">
      <c r="A122" t="s">
        <v>38</v>
      </c>
      <c r="B122">
        <v>2021</v>
      </c>
      <c r="C122">
        <v>16675</v>
      </c>
      <c r="D122">
        <v>4332</v>
      </c>
      <c r="E122">
        <v>1.73</v>
      </c>
      <c r="F122">
        <v>5822</v>
      </c>
      <c r="G122">
        <v>-19675</v>
      </c>
      <c r="H122">
        <f t="shared" si="15"/>
        <v>19675</v>
      </c>
      <c r="I122">
        <f t="shared" si="16"/>
        <v>-13853</v>
      </c>
      <c r="J122" s="4">
        <v>9.0093930635838149</v>
      </c>
      <c r="K122" s="1">
        <f t="shared" ref="K122:K133" si="29">I122*(1+J121/100)</f>
        <v>-13721.69</v>
      </c>
      <c r="L122" s="1">
        <f t="shared" si="28"/>
        <v>0.82644628099173545</v>
      </c>
      <c r="M122" s="1">
        <f t="shared" si="17"/>
        <v>-11340.239669421488</v>
      </c>
      <c r="O122" t="str">
        <f t="shared" si="18"/>
        <v/>
      </c>
      <c r="R122" s="1">
        <f t="shared" si="19"/>
        <v>2504.0462427745665</v>
      </c>
    </row>
    <row r="123" spans="1:21" x14ac:dyDescent="0.3">
      <c r="A123" t="s">
        <v>38</v>
      </c>
      <c r="B123">
        <v>2020</v>
      </c>
      <c r="C123">
        <v>10918</v>
      </c>
      <c r="D123">
        <v>2796</v>
      </c>
      <c r="E123">
        <v>1.1299999999999999</v>
      </c>
      <c r="F123">
        <v>4761</v>
      </c>
      <c r="G123">
        <v>6145</v>
      </c>
      <c r="H123">
        <f t="shared" si="15"/>
        <v>6145</v>
      </c>
      <c r="I123">
        <f t="shared" si="16"/>
        <v>-1384</v>
      </c>
      <c r="J123" s="4">
        <v>2.9096045197740112</v>
      </c>
      <c r="K123" s="1">
        <f t="shared" si="29"/>
        <v>-1508.69</v>
      </c>
      <c r="L123" s="1">
        <f t="shared" si="28"/>
        <v>0.75131480090157754</v>
      </c>
      <c r="M123" s="1">
        <f t="shared" si="17"/>
        <v>-1133.5011269722011</v>
      </c>
      <c r="O123" t="str">
        <f t="shared" si="18"/>
        <v/>
      </c>
      <c r="R123" s="1">
        <f t="shared" si="19"/>
        <v>2474.3362831858408</v>
      </c>
    </row>
    <row r="124" spans="1:21" x14ac:dyDescent="0.3">
      <c r="A124" t="s">
        <v>38</v>
      </c>
      <c r="B124">
        <v>2019</v>
      </c>
      <c r="C124">
        <v>11716</v>
      </c>
      <c r="D124">
        <v>4141</v>
      </c>
      <c r="E124">
        <v>1.6575</v>
      </c>
      <c r="F124">
        <v>3743</v>
      </c>
      <c r="G124">
        <v>-4097</v>
      </c>
      <c r="H124">
        <f t="shared" si="15"/>
        <v>4097</v>
      </c>
      <c r="I124">
        <f t="shared" si="16"/>
        <v>-354</v>
      </c>
      <c r="J124" s="4">
        <v>-1.1591726618705036</v>
      </c>
      <c r="K124" s="1">
        <f t="shared" si="29"/>
        <v>-364.29999999999995</v>
      </c>
      <c r="L124" s="1">
        <f t="shared" si="28"/>
        <v>0.68301345536507052</v>
      </c>
      <c r="M124" s="1">
        <f t="shared" si="17"/>
        <v>-248.82180178949517</v>
      </c>
      <c r="O124" t="str">
        <f t="shared" si="18"/>
        <v/>
      </c>
      <c r="R124" s="1">
        <f t="shared" si="19"/>
        <v>2498.340874811463</v>
      </c>
    </row>
    <row r="125" spans="1:21" x14ac:dyDescent="0.3">
      <c r="A125" t="s">
        <v>38</v>
      </c>
      <c r="B125">
        <v>2018</v>
      </c>
      <c r="C125">
        <v>9714</v>
      </c>
      <c r="D125">
        <v>3047</v>
      </c>
      <c r="E125">
        <v>1.2050000000000001</v>
      </c>
      <c r="F125">
        <v>3502</v>
      </c>
      <c r="G125">
        <v>1278</v>
      </c>
      <c r="H125">
        <f t="shared" si="15"/>
        <v>1278</v>
      </c>
      <c r="I125">
        <f t="shared" si="16"/>
        <v>2224</v>
      </c>
      <c r="J125" s="4">
        <v>1.5301478953356087</v>
      </c>
      <c r="K125" s="1">
        <f t="shared" si="29"/>
        <v>2198.2200000000003</v>
      </c>
      <c r="L125" s="1">
        <f t="shared" si="28"/>
        <v>0.62092132305915493</v>
      </c>
      <c r="M125" s="1">
        <f t="shared" si="17"/>
        <v>1364.9216707750957</v>
      </c>
      <c r="O125" t="str">
        <f t="shared" si="18"/>
        <v/>
      </c>
      <c r="R125" s="1">
        <f t="shared" si="19"/>
        <v>2528.6307053941905</v>
      </c>
    </row>
    <row r="126" spans="1:21" x14ac:dyDescent="0.3">
      <c r="A126" t="s">
        <v>38</v>
      </c>
      <c r="B126">
        <v>2017</v>
      </c>
      <c r="C126">
        <v>6910</v>
      </c>
      <c r="D126">
        <v>1666</v>
      </c>
      <c r="E126">
        <v>0.64249999999999996</v>
      </c>
      <c r="F126">
        <v>1672</v>
      </c>
      <c r="G126">
        <v>-793</v>
      </c>
      <c r="H126">
        <f t="shared" si="15"/>
        <v>793</v>
      </c>
      <c r="I126">
        <f t="shared" si="16"/>
        <v>879</v>
      </c>
      <c r="J126" s="4">
        <v>0.13419354838709677</v>
      </c>
      <c r="K126" s="1">
        <f t="shared" si="29"/>
        <v>892.45</v>
      </c>
      <c r="L126" s="1">
        <f t="shared" si="28"/>
        <v>0.56447393005377722</v>
      </c>
      <c r="M126" s="1">
        <f t="shared" si="17"/>
        <v>503.76475887649349</v>
      </c>
      <c r="O126" t="str">
        <f t="shared" si="18"/>
        <v/>
      </c>
      <c r="R126" s="1">
        <f t="shared" si="19"/>
        <v>2592.9961089494163</v>
      </c>
    </row>
    <row r="127" spans="1:21" x14ac:dyDescent="0.3">
      <c r="A127" t="s">
        <v>38</v>
      </c>
      <c r="B127">
        <v>2016</v>
      </c>
      <c r="C127">
        <v>5010</v>
      </c>
      <c r="D127">
        <v>614</v>
      </c>
      <c r="E127">
        <v>0.27</v>
      </c>
      <c r="F127">
        <v>1175</v>
      </c>
      <c r="G127">
        <v>-400</v>
      </c>
      <c r="H127">
        <f t="shared" si="15"/>
        <v>400</v>
      </c>
      <c r="I127">
        <f t="shared" si="16"/>
        <v>775</v>
      </c>
      <c r="J127" s="4">
        <v>3.3296089385474859</v>
      </c>
      <c r="K127" s="1">
        <f t="shared" si="29"/>
        <v>776.04000000000008</v>
      </c>
      <c r="L127" s="1">
        <f t="shared" si="28"/>
        <v>0.51315811823070645</v>
      </c>
      <c r="M127" s="1">
        <f t="shared" si="17"/>
        <v>398.23122607175748</v>
      </c>
      <c r="O127" t="str">
        <f t="shared" si="18"/>
        <v/>
      </c>
      <c r="R127" s="1">
        <f t="shared" si="19"/>
        <v>2274.0740740740739</v>
      </c>
    </row>
    <row r="128" spans="1:21" x14ac:dyDescent="0.3">
      <c r="A128" t="s">
        <v>38</v>
      </c>
      <c r="B128">
        <v>2015</v>
      </c>
      <c r="C128">
        <v>4682</v>
      </c>
      <c r="D128">
        <v>631</v>
      </c>
      <c r="E128">
        <v>0.28000000000000003</v>
      </c>
      <c r="F128">
        <v>906</v>
      </c>
      <c r="G128">
        <v>-727</v>
      </c>
      <c r="H128">
        <f t="shared" si="15"/>
        <v>727</v>
      </c>
      <c r="I128">
        <f t="shared" si="16"/>
        <v>179</v>
      </c>
      <c r="J128" s="4">
        <v>5.1724137931034484</v>
      </c>
      <c r="K128" s="1">
        <f t="shared" si="29"/>
        <v>184.95999999999998</v>
      </c>
      <c r="L128" s="1">
        <f t="shared" si="28"/>
        <v>0.46650738020973315</v>
      </c>
      <c r="M128" s="1">
        <f t="shared" si="17"/>
        <v>86.285205043592228</v>
      </c>
      <c r="O128" t="str">
        <f t="shared" si="18"/>
        <v/>
      </c>
      <c r="R128" s="1">
        <f t="shared" si="19"/>
        <v>2253.5714285714284</v>
      </c>
    </row>
    <row r="129" spans="1:21" x14ac:dyDescent="0.3">
      <c r="A129" t="s">
        <v>38</v>
      </c>
      <c r="B129">
        <v>2014</v>
      </c>
      <c r="C129">
        <v>4130</v>
      </c>
      <c r="D129">
        <v>440</v>
      </c>
      <c r="E129">
        <v>0.185</v>
      </c>
      <c r="F129">
        <v>835</v>
      </c>
      <c r="G129">
        <v>-806</v>
      </c>
      <c r="H129">
        <f t="shared" si="15"/>
        <v>806</v>
      </c>
      <c r="I129">
        <f t="shared" si="16"/>
        <v>29</v>
      </c>
      <c r="J129" s="4">
        <v>-0.63831379396358223</v>
      </c>
      <c r="K129" s="1">
        <f t="shared" si="29"/>
        <v>30.5</v>
      </c>
      <c r="L129" s="1">
        <f t="shared" si="28"/>
        <v>0.42409761837248466</v>
      </c>
      <c r="M129" s="1">
        <f t="shared" si="17"/>
        <v>12.934977360360783</v>
      </c>
      <c r="O129" t="str">
        <f t="shared" si="18"/>
        <v/>
      </c>
      <c r="R129" s="1">
        <f t="shared" si="19"/>
        <v>2378.3783783783783</v>
      </c>
    </row>
    <row r="130" spans="1:21" x14ac:dyDescent="0.3">
      <c r="A130" t="s">
        <v>38</v>
      </c>
      <c r="B130">
        <v>2013</v>
      </c>
      <c r="C130">
        <v>4280.1589999999997</v>
      </c>
      <c r="D130">
        <v>562.53599999999994</v>
      </c>
      <c r="E130">
        <v>0.22500000000000001</v>
      </c>
      <c r="F130">
        <v>824.17200000000003</v>
      </c>
      <c r="G130">
        <v>-743.99199999999996</v>
      </c>
      <c r="H130">
        <f t="shared" si="15"/>
        <v>743.99199999999996</v>
      </c>
      <c r="I130">
        <f t="shared" si="16"/>
        <v>80.180000000000064</v>
      </c>
      <c r="J130" s="4">
        <v>-1.3423452657466868</v>
      </c>
      <c r="K130" s="1">
        <f t="shared" si="29"/>
        <v>79.668200000000056</v>
      </c>
      <c r="L130" s="1">
        <f t="shared" si="28"/>
        <v>0.38554328942953148</v>
      </c>
      <c r="M130" s="1">
        <f t="shared" si="17"/>
        <v>30.715539890929822</v>
      </c>
      <c r="O130" t="str">
        <f t="shared" si="18"/>
        <v/>
      </c>
      <c r="R130" s="1">
        <f t="shared" si="19"/>
        <v>2500.16</v>
      </c>
    </row>
    <row r="131" spans="1:21" x14ac:dyDescent="0.3">
      <c r="A131" t="s">
        <v>38</v>
      </c>
      <c r="B131">
        <v>2012</v>
      </c>
      <c r="C131">
        <v>3997.93</v>
      </c>
      <c r="D131">
        <v>581.09</v>
      </c>
      <c r="E131">
        <v>0.23499999999999999</v>
      </c>
      <c r="F131">
        <v>909.15599999999995</v>
      </c>
      <c r="G131">
        <v>-1143.364</v>
      </c>
      <c r="H131">
        <f t="shared" ref="H131:H162" si="30">ABS(G131)</f>
        <v>1143.364</v>
      </c>
      <c r="I131">
        <f t="shared" ref="I131:I162" si="31">(F131-H131)</f>
        <v>-234.20800000000008</v>
      </c>
      <c r="J131" s="4">
        <v>-9.9669589187947398</v>
      </c>
      <c r="K131" s="1">
        <f t="shared" si="29"/>
        <v>-231.06412000000006</v>
      </c>
      <c r="L131" s="1">
        <f t="shared" si="28"/>
        <v>0.3504938994813922</v>
      </c>
      <c r="M131" s="1">
        <f t="shared" ref="M131:M162" si="32">IF(OR(ISBLANK(K131),ISBLANK(L131)),"",IFERROR(K131*L131,0))</f>
        <v>-80.986564449036365</v>
      </c>
      <c r="O131" t="str">
        <f t="shared" ref="O131:O162" si="33">IF(OR(N131="",L131=""),"",ROUND(N131*L131,2))</f>
        <v/>
      </c>
      <c r="R131" s="1">
        <f t="shared" ref="R131:R162" si="34">IFERROR(D131/E131,"")</f>
        <v>2472.7234042553196</v>
      </c>
    </row>
    <row r="132" spans="1:21" x14ac:dyDescent="0.3">
      <c r="A132" t="s">
        <v>38</v>
      </c>
      <c r="B132">
        <v>2011</v>
      </c>
      <c r="C132">
        <v>3543.3090000000002</v>
      </c>
      <c r="D132">
        <v>253.14599999999999</v>
      </c>
      <c r="E132">
        <v>0.1075</v>
      </c>
      <c r="F132">
        <v>675.79700000000003</v>
      </c>
      <c r="G132">
        <v>-649.678</v>
      </c>
      <c r="H132">
        <f t="shared" si="30"/>
        <v>649.678</v>
      </c>
      <c r="I132">
        <f t="shared" si="31"/>
        <v>26.119000000000028</v>
      </c>
      <c r="J132" s="4">
        <v>-1.8284907695235699</v>
      </c>
      <c r="K132" s="1">
        <f t="shared" si="29"/>
        <v>23.515730000000026</v>
      </c>
      <c r="L132" s="1">
        <f t="shared" si="28"/>
        <v>0.31863081771035656</v>
      </c>
      <c r="M132" s="1">
        <f t="shared" si="32"/>
        <v>7.4928362789559717</v>
      </c>
      <c r="O132" t="str">
        <f t="shared" si="33"/>
        <v/>
      </c>
      <c r="R132" s="1">
        <f t="shared" si="34"/>
        <v>2354.8465116279067</v>
      </c>
    </row>
    <row r="133" spans="1:21" x14ac:dyDescent="0.3">
      <c r="A133" t="s">
        <v>38</v>
      </c>
      <c r="B133">
        <v>2010</v>
      </c>
      <c r="C133">
        <v>3326.4450000000002</v>
      </c>
      <c r="D133">
        <v>-67.986999999999995</v>
      </c>
      <c r="E133">
        <v>-0.03</v>
      </c>
      <c r="F133">
        <v>487.80700000000002</v>
      </c>
      <c r="G133">
        <v>-519.33299999999997</v>
      </c>
      <c r="H133">
        <f t="shared" si="30"/>
        <v>519.33299999999997</v>
      </c>
      <c r="I133">
        <f t="shared" si="31"/>
        <v>-31.525999999999954</v>
      </c>
      <c r="J133" s="4">
        <v>-1.7882879503913172</v>
      </c>
      <c r="K133" s="1">
        <f t="shared" si="29"/>
        <v>-30.949549999999952</v>
      </c>
      <c r="L133" s="1">
        <f t="shared" si="28"/>
        <v>0.28966437973668779</v>
      </c>
      <c r="M133" s="1">
        <f t="shared" si="32"/>
        <v>-8.9649822038795914</v>
      </c>
      <c r="O133" t="str">
        <f t="shared" si="33"/>
        <v/>
      </c>
      <c r="R133" s="1">
        <f t="shared" si="34"/>
        <v>2266.2333333333331</v>
      </c>
    </row>
    <row r="134" spans="1:21" x14ac:dyDescent="0.3">
      <c r="A134" t="s">
        <v>38</v>
      </c>
      <c r="B134">
        <v>2009</v>
      </c>
      <c r="C134">
        <v>3424.8589999999999</v>
      </c>
      <c r="D134">
        <v>-30.041</v>
      </c>
      <c r="E134">
        <v>-1.2500000000000001E-2</v>
      </c>
      <c r="F134">
        <v>249.36</v>
      </c>
      <c r="G134">
        <v>-209.36699999999999</v>
      </c>
      <c r="H134">
        <f t="shared" si="30"/>
        <v>209.36699999999999</v>
      </c>
      <c r="I134">
        <f t="shared" si="31"/>
        <v>39.993000000000023</v>
      </c>
      <c r="J134" s="4" t="s">
        <v>46</v>
      </c>
      <c r="K134" s="1">
        <f>I134*(1+J133/100)</f>
        <v>39.277810000000024</v>
      </c>
      <c r="L134" s="1">
        <f t="shared" si="28"/>
        <v>0.26333125430607973</v>
      </c>
      <c r="M134" s="1">
        <f t="shared" si="32"/>
        <v>10.343074973695888</v>
      </c>
      <c r="O134" t="str">
        <f t="shared" si="33"/>
        <v/>
      </c>
      <c r="R134" s="1">
        <f t="shared" si="34"/>
        <v>2403.2799999999997</v>
      </c>
    </row>
    <row r="135" spans="1:21" x14ac:dyDescent="0.3">
      <c r="A135" t="s">
        <v>40</v>
      </c>
      <c r="B135">
        <v>2022</v>
      </c>
      <c r="C135">
        <v>63054</v>
      </c>
      <c r="D135">
        <v>8014</v>
      </c>
      <c r="E135">
        <v>1.94</v>
      </c>
      <c r="F135">
        <v>15433</v>
      </c>
      <c r="G135">
        <v>-10477</v>
      </c>
      <c r="H135">
        <f t="shared" si="30"/>
        <v>10477</v>
      </c>
      <c r="I135">
        <f t="shared" si="31"/>
        <v>4956</v>
      </c>
      <c r="J135" s="4">
        <v>-1.0185739964050332E-2</v>
      </c>
      <c r="K135" s="1">
        <v>4956</v>
      </c>
      <c r="L135" s="1">
        <f>1/(1+0.1)^(MAX($B$135:$B$148)-B135)</f>
        <v>1</v>
      </c>
      <c r="M135" s="1">
        <f t="shared" si="32"/>
        <v>4956</v>
      </c>
      <c r="N135" s="1">
        <f>IF(K135="","",K135*(1+0.03)/(0.1-0.03))</f>
        <v>72924</v>
      </c>
      <c r="O135">
        <f t="shared" si="33"/>
        <v>72924</v>
      </c>
      <c r="P135" s="1">
        <f>SUM(M135:M148)+O135</f>
        <v>142541.73750072622</v>
      </c>
      <c r="Q135" s="6">
        <v>109.08</v>
      </c>
      <c r="R135" s="1">
        <f t="shared" si="34"/>
        <v>4130.9278350515469</v>
      </c>
      <c r="S135" s="1">
        <f>P135/R135</f>
        <v>34.505985868655955</v>
      </c>
      <c r="T135" s="1">
        <f>(Q135*1000)/R135</f>
        <v>26.40569004242575</v>
      </c>
      <c r="U135" s="3">
        <f>((S135-T135)/T135)</f>
        <v>0.30676327008366544</v>
      </c>
    </row>
    <row r="136" spans="1:21" x14ac:dyDescent="0.3">
      <c r="A136" t="s">
        <v>40</v>
      </c>
      <c r="B136">
        <v>2021</v>
      </c>
      <c r="C136">
        <v>79024</v>
      </c>
      <c r="D136">
        <v>19868</v>
      </c>
      <c r="E136">
        <v>4.8600000000000003</v>
      </c>
      <c r="F136">
        <v>29456</v>
      </c>
      <c r="G136">
        <v>-24449</v>
      </c>
      <c r="H136">
        <f t="shared" si="30"/>
        <v>24449</v>
      </c>
      <c r="I136">
        <f t="shared" si="31"/>
        <v>5007</v>
      </c>
      <c r="J136" s="4">
        <v>-0.65083682008368204</v>
      </c>
      <c r="K136" s="1">
        <f>I136*(1+J135/100)</f>
        <v>5006.49</v>
      </c>
      <c r="L136" s="1">
        <f t="shared" ref="L136:L148" si="35">1/(1+0.1)^(MAX($B$135:$B$148)-B136)</f>
        <v>0.90909090909090906</v>
      </c>
      <c r="M136" s="1">
        <f t="shared" si="32"/>
        <v>4551.3545454545447</v>
      </c>
      <c r="O136" t="str">
        <f t="shared" si="33"/>
        <v/>
      </c>
      <c r="R136" s="1">
        <f t="shared" si="34"/>
        <v>4088.0658436213989</v>
      </c>
    </row>
    <row r="137" spans="1:21" x14ac:dyDescent="0.3">
      <c r="A137" t="s">
        <v>40</v>
      </c>
      <c r="B137">
        <v>2020</v>
      </c>
      <c r="C137">
        <v>77867</v>
      </c>
      <c r="D137">
        <v>20899</v>
      </c>
      <c r="E137">
        <v>4.9400000000000004</v>
      </c>
      <c r="F137">
        <v>35864</v>
      </c>
      <c r="G137">
        <v>-21524</v>
      </c>
      <c r="H137">
        <f t="shared" si="30"/>
        <v>21524</v>
      </c>
      <c r="I137">
        <f t="shared" si="31"/>
        <v>14340</v>
      </c>
      <c r="J137" s="4">
        <v>-0.23479188900747064</v>
      </c>
      <c r="K137" s="1">
        <f t="shared" ref="K137:K147" si="36">I137*(1+J136/100)</f>
        <v>14246.67</v>
      </c>
      <c r="L137" s="1">
        <f t="shared" si="35"/>
        <v>0.82644628099173545</v>
      </c>
      <c r="M137" s="1">
        <f t="shared" si="32"/>
        <v>11774.107438016528</v>
      </c>
      <c r="O137" t="str">
        <f t="shared" si="33"/>
        <v/>
      </c>
      <c r="R137" s="1">
        <f t="shared" si="34"/>
        <v>4230.5668016194331</v>
      </c>
    </row>
    <row r="138" spans="1:21" x14ac:dyDescent="0.3">
      <c r="A138" t="s">
        <v>40</v>
      </c>
      <c r="B138">
        <v>2019</v>
      </c>
      <c r="C138">
        <v>71965</v>
      </c>
      <c r="D138">
        <v>21048</v>
      </c>
      <c r="E138">
        <v>4.71</v>
      </c>
      <c r="F138">
        <v>33145</v>
      </c>
      <c r="G138">
        <v>-14405</v>
      </c>
      <c r="H138">
        <f t="shared" si="30"/>
        <v>14405</v>
      </c>
      <c r="I138">
        <f t="shared" si="31"/>
        <v>18740</v>
      </c>
      <c r="J138" s="4">
        <v>3.0066509096905402E-2</v>
      </c>
      <c r="K138" s="1">
        <f t="shared" si="36"/>
        <v>18696</v>
      </c>
      <c r="L138" s="1">
        <f t="shared" si="35"/>
        <v>0.75131480090157754</v>
      </c>
      <c r="M138" s="1">
        <f t="shared" si="32"/>
        <v>14046.581517655894</v>
      </c>
      <c r="O138" t="str">
        <f t="shared" si="33"/>
        <v/>
      </c>
      <c r="R138" s="1">
        <f t="shared" si="34"/>
        <v>4468.7898089171977</v>
      </c>
    </row>
    <row r="139" spans="1:21" x14ac:dyDescent="0.3">
      <c r="A139" t="s">
        <v>40</v>
      </c>
      <c r="B139">
        <v>2018</v>
      </c>
      <c r="C139">
        <v>70848</v>
      </c>
      <c r="D139">
        <v>21053</v>
      </c>
      <c r="E139">
        <v>4.4800000000000004</v>
      </c>
      <c r="F139">
        <v>29432</v>
      </c>
      <c r="G139">
        <v>-11239</v>
      </c>
      <c r="H139">
        <f t="shared" si="30"/>
        <v>11239</v>
      </c>
      <c r="I139">
        <f t="shared" si="31"/>
        <v>18193</v>
      </c>
      <c r="J139" s="4">
        <v>1.8659420289855071</v>
      </c>
      <c r="K139" s="1">
        <f t="shared" si="36"/>
        <v>18198.47</v>
      </c>
      <c r="L139" s="1">
        <f t="shared" si="35"/>
        <v>0.68301345536507052</v>
      </c>
      <c r="M139" s="1">
        <f t="shared" si="32"/>
        <v>12429.799877057576</v>
      </c>
      <c r="O139" t="str">
        <f t="shared" si="33"/>
        <v/>
      </c>
      <c r="R139" s="1">
        <f t="shared" si="34"/>
        <v>4699.3303571428569</v>
      </c>
    </row>
    <row r="140" spans="1:21" x14ac:dyDescent="0.3">
      <c r="A140" t="s">
        <v>40</v>
      </c>
      <c r="B140">
        <v>2017</v>
      </c>
      <c r="C140">
        <v>62761</v>
      </c>
      <c r="D140">
        <v>9601</v>
      </c>
      <c r="E140">
        <v>1.99</v>
      </c>
      <c r="F140">
        <v>22110</v>
      </c>
      <c r="G140">
        <v>-15762</v>
      </c>
      <c r="H140">
        <f t="shared" si="30"/>
        <v>15762</v>
      </c>
      <c r="I140">
        <f t="shared" si="31"/>
        <v>6348</v>
      </c>
      <c r="J140" s="4">
        <v>-2.5834372661511598</v>
      </c>
      <c r="K140" s="1">
        <f t="shared" si="36"/>
        <v>6466.4500000000007</v>
      </c>
      <c r="L140" s="1">
        <f t="shared" si="35"/>
        <v>0.62092132305915493</v>
      </c>
      <c r="M140" s="1">
        <f t="shared" si="32"/>
        <v>4015.1566894958728</v>
      </c>
      <c r="O140" t="str">
        <f t="shared" si="33"/>
        <v/>
      </c>
      <c r="R140" s="1">
        <f t="shared" si="34"/>
        <v>4824.6231155778896</v>
      </c>
    </row>
    <row r="141" spans="1:21" x14ac:dyDescent="0.3">
      <c r="A141" t="s">
        <v>40</v>
      </c>
      <c r="B141">
        <v>2016</v>
      </c>
      <c r="C141">
        <v>59387</v>
      </c>
      <c r="D141">
        <v>10316</v>
      </c>
      <c r="E141">
        <v>2.12</v>
      </c>
      <c r="F141">
        <v>21808</v>
      </c>
      <c r="G141">
        <v>-25817</v>
      </c>
      <c r="H141">
        <f t="shared" si="30"/>
        <v>25817</v>
      </c>
      <c r="I141">
        <f t="shared" si="31"/>
        <v>-4009</v>
      </c>
      <c r="J141" s="4">
        <v>-1.3700046146746656</v>
      </c>
      <c r="K141" s="1">
        <f t="shared" si="36"/>
        <v>-3905.4300000000003</v>
      </c>
      <c r="L141" s="1">
        <f t="shared" si="35"/>
        <v>0.56447393005377722</v>
      </c>
      <c r="M141" s="1">
        <f t="shared" si="32"/>
        <v>-2204.5134206499233</v>
      </c>
      <c r="O141" t="str">
        <f t="shared" si="33"/>
        <v/>
      </c>
      <c r="R141" s="1">
        <f t="shared" si="34"/>
        <v>4866.0377358490559</v>
      </c>
    </row>
    <row r="142" spans="1:21" x14ac:dyDescent="0.3">
      <c r="A142" t="s">
        <v>40</v>
      </c>
      <c r="B142">
        <v>2015</v>
      </c>
      <c r="C142">
        <v>55355</v>
      </c>
      <c r="D142">
        <v>11420</v>
      </c>
      <c r="E142">
        <v>2.33</v>
      </c>
      <c r="F142">
        <v>19018</v>
      </c>
      <c r="G142">
        <v>-8183</v>
      </c>
      <c r="H142">
        <f t="shared" si="30"/>
        <v>8183</v>
      </c>
      <c r="I142">
        <f t="shared" si="31"/>
        <v>10835</v>
      </c>
      <c r="J142" s="4">
        <v>3.0628745362884048E-2</v>
      </c>
      <c r="K142" s="1">
        <f t="shared" si="36"/>
        <v>10686.56</v>
      </c>
      <c r="L142" s="1">
        <f t="shared" si="35"/>
        <v>0.51315811823070645</v>
      </c>
      <c r="M142" s="1">
        <f t="shared" si="32"/>
        <v>5483.8950199595383</v>
      </c>
      <c r="O142" t="str">
        <f t="shared" si="33"/>
        <v/>
      </c>
      <c r="R142" s="1">
        <f t="shared" si="34"/>
        <v>4901.2875536480688</v>
      </c>
    </row>
    <row r="143" spans="1:21" x14ac:dyDescent="0.3">
      <c r="A143" t="s">
        <v>40</v>
      </c>
      <c r="B143">
        <v>2014</v>
      </c>
      <c r="C143">
        <v>55870</v>
      </c>
      <c r="D143">
        <v>11704</v>
      </c>
      <c r="E143">
        <v>2.31</v>
      </c>
      <c r="F143">
        <v>20418</v>
      </c>
      <c r="G143">
        <v>-9905</v>
      </c>
      <c r="H143">
        <f t="shared" si="30"/>
        <v>9905</v>
      </c>
      <c r="I143">
        <f t="shared" si="31"/>
        <v>10513</v>
      </c>
      <c r="J143" s="4">
        <v>2.8893821679615241</v>
      </c>
      <c r="K143" s="1">
        <f t="shared" si="36"/>
        <v>10516.22</v>
      </c>
      <c r="L143" s="1">
        <f t="shared" si="35"/>
        <v>0.46650738020973315</v>
      </c>
      <c r="M143" s="1">
        <f t="shared" si="32"/>
        <v>4905.8942419092</v>
      </c>
      <c r="O143" t="str">
        <f t="shared" si="33"/>
        <v/>
      </c>
      <c r="R143" s="1">
        <f t="shared" si="34"/>
        <v>5066.666666666667</v>
      </c>
    </row>
    <row r="144" spans="1:21" x14ac:dyDescent="0.3">
      <c r="A144" t="s">
        <v>40</v>
      </c>
      <c r="B144">
        <v>2013</v>
      </c>
      <c r="C144">
        <v>52708</v>
      </c>
      <c r="D144">
        <v>9620</v>
      </c>
      <c r="E144">
        <v>1.89</v>
      </c>
      <c r="F144">
        <v>20776</v>
      </c>
      <c r="G144">
        <v>-18073</v>
      </c>
      <c r="H144">
        <f t="shared" si="30"/>
        <v>18073</v>
      </c>
      <c r="I144">
        <f t="shared" si="31"/>
        <v>2703</v>
      </c>
      <c r="J144" s="4">
        <v>-0.43967661691542292</v>
      </c>
      <c r="K144" s="1">
        <f t="shared" si="36"/>
        <v>2781.1000000000004</v>
      </c>
      <c r="L144" s="1">
        <f t="shared" si="35"/>
        <v>0.42409761837248466</v>
      </c>
      <c r="M144" s="1">
        <f t="shared" si="32"/>
        <v>1179.4578864557172</v>
      </c>
      <c r="O144" t="str">
        <f t="shared" si="33"/>
        <v/>
      </c>
      <c r="R144" s="1">
        <f t="shared" si="34"/>
        <v>5089.9470899470898</v>
      </c>
    </row>
    <row r="145" spans="1:21" x14ac:dyDescent="0.3">
      <c r="A145" t="s">
        <v>40</v>
      </c>
      <c r="B145">
        <v>2012</v>
      </c>
      <c r="C145">
        <v>53341</v>
      </c>
      <c r="D145">
        <v>11005</v>
      </c>
      <c r="E145">
        <v>2.13</v>
      </c>
      <c r="F145">
        <v>18884</v>
      </c>
      <c r="G145">
        <v>-14060</v>
      </c>
      <c r="H145">
        <f t="shared" si="30"/>
        <v>14060</v>
      </c>
      <c r="I145">
        <f t="shared" si="31"/>
        <v>4824</v>
      </c>
      <c r="J145" s="4">
        <v>-0.54755205402363538</v>
      </c>
      <c r="K145" s="1">
        <f t="shared" si="36"/>
        <v>4802.79</v>
      </c>
      <c r="L145" s="1">
        <f t="shared" si="35"/>
        <v>0.38554328942953148</v>
      </c>
      <c r="M145" s="1">
        <f t="shared" si="32"/>
        <v>1851.6834550392596</v>
      </c>
      <c r="O145" t="str">
        <f t="shared" si="33"/>
        <v/>
      </c>
      <c r="R145" s="1">
        <f t="shared" si="34"/>
        <v>5166.666666666667</v>
      </c>
    </row>
    <row r="146" spans="1:21" x14ac:dyDescent="0.3">
      <c r="A146" t="s">
        <v>40</v>
      </c>
      <c r="B146">
        <v>2011</v>
      </c>
      <c r="C146">
        <v>53999</v>
      </c>
      <c r="D146">
        <v>12942</v>
      </c>
      <c r="E146">
        <v>2.39</v>
      </c>
      <c r="F146">
        <v>20963</v>
      </c>
      <c r="G146">
        <v>-10301</v>
      </c>
      <c r="H146">
        <f t="shared" si="30"/>
        <v>10301</v>
      </c>
      <c r="I146">
        <f t="shared" si="31"/>
        <v>10662</v>
      </c>
      <c r="J146" s="4">
        <v>0.73281326182350071</v>
      </c>
      <c r="K146" s="1">
        <f t="shared" si="36"/>
        <v>10603.619999999999</v>
      </c>
      <c r="L146" s="1">
        <f t="shared" si="35"/>
        <v>0.3504938994813922</v>
      </c>
      <c r="M146" s="1">
        <f t="shared" si="32"/>
        <v>3716.5041224188794</v>
      </c>
      <c r="O146" t="str">
        <f t="shared" si="33"/>
        <v/>
      </c>
      <c r="R146" s="1">
        <f t="shared" si="34"/>
        <v>5415.0627615062758</v>
      </c>
    </row>
    <row r="147" spans="1:21" x14ac:dyDescent="0.3">
      <c r="A147" t="s">
        <v>40</v>
      </c>
      <c r="B147">
        <v>2010</v>
      </c>
      <c r="C147">
        <v>43623</v>
      </c>
      <c r="D147">
        <v>11464</v>
      </c>
      <c r="E147">
        <v>2.0099999999999998</v>
      </c>
      <c r="F147">
        <v>16692</v>
      </c>
      <c r="G147">
        <v>-10539</v>
      </c>
      <c r="H147">
        <f t="shared" si="30"/>
        <v>10539</v>
      </c>
      <c r="I147">
        <f t="shared" si="31"/>
        <v>6153</v>
      </c>
      <c r="J147" s="4">
        <v>0.91981279251170056</v>
      </c>
      <c r="K147" s="1">
        <f t="shared" si="36"/>
        <v>6198.09</v>
      </c>
      <c r="L147" s="1">
        <f t="shared" si="35"/>
        <v>0.31863081771035656</v>
      </c>
      <c r="M147" s="1">
        <f t="shared" si="32"/>
        <v>1974.902484942384</v>
      </c>
      <c r="O147" t="str">
        <f t="shared" si="33"/>
        <v/>
      </c>
      <c r="R147" s="1">
        <f t="shared" si="34"/>
        <v>5703.4825870646773</v>
      </c>
    </row>
    <row r="148" spans="1:21" x14ac:dyDescent="0.3">
      <c r="A148" t="s">
        <v>40</v>
      </c>
      <c r="B148">
        <v>2009</v>
      </c>
      <c r="C148">
        <v>35127</v>
      </c>
      <c r="D148">
        <v>4369</v>
      </c>
      <c r="E148">
        <v>0.77</v>
      </c>
      <c r="F148">
        <v>11170</v>
      </c>
      <c r="G148">
        <v>-7965</v>
      </c>
      <c r="H148">
        <f t="shared" si="30"/>
        <v>7965</v>
      </c>
      <c r="I148">
        <f t="shared" si="31"/>
        <v>3205</v>
      </c>
      <c r="J148" s="4" t="s">
        <v>46</v>
      </c>
      <c r="K148" s="1">
        <f>I148*(1+J147/100)</f>
        <v>3234.48</v>
      </c>
      <c r="L148" s="1">
        <f t="shared" si="35"/>
        <v>0.28966437973668779</v>
      </c>
      <c r="M148" s="1">
        <f t="shared" si="32"/>
        <v>936.91364297072198</v>
      </c>
      <c r="O148" t="str">
        <f t="shared" si="33"/>
        <v/>
      </c>
      <c r="R148" s="1">
        <f t="shared" si="34"/>
        <v>5674.0259740259735</v>
      </c>
    </row>
    <row r="149" spans="1:21" x14ac:dyDescent="0.3">
      <c r="A149" t="s">
        <v>41</v>
      </c>
      <c r="B149">
        <v>2022</v>
      </c>
      <c r="C149">
        <v>513983</v>
      </c>
      <c r="D149">
        <v>-2722</v>
      </c>
      <c r="E149">
        <v>-0.27</v>
      </c>
      <c r="F149">
        <v>46752</v>
      </c>
      <c r="G149">
        <v>-37601</v>
      </c>
      <c r="H149">
        <f t="shared" si="30"/>
        <v>37601</v>
      </c>
      <c r="I149">
        <f t="shared" si="31"/>
        <v>9151</v>
      </c>
      <c r="J149" s="4">
        <v>-1.7737380569882473</v>
      </c>
      <c r="K149" s="1">
        <v>9151</v>
      </c>
      <c r="L149" s="1">
        <f>1/(1+0.1)^(MAX($B$149:$B$162)-B149)</f>
        <v>1</v>
      </c>
      <c r="M149" s="1">
        <f t="shared" si="32"/>
        <v>9151</v>
      </c>
      <c r="N149" s="1">
        <f>IF(K149="","",K149*(1+0.03)/(0.1-0.03))</f>
        <v>134650.42857142858</v>
      </c>
      <c r="O149">
        <f t="shared" si="33"/>
        <v>134650.43</v>
      </c>
      <c r="P149" s="1">
        <f>SUM(M149:M162)+O149</f>
        <v>166040.49039705741</v>
      </c>
      <c r="Q149" s="6">
        <v>856.94</v>
      </c>
      <c r="R149" s="1">
        <f t="shared" si="34"/>
        <v>10081.48148148148</v>
      </c>
      <c r="S149" s="1">
        <f>P149/R149</f>
        <v>16.469850259810986</v>
      </c>
      <c r="T149" s="1">
        <f>(Q149*1000)/R149</f>
        <v>85.001396032329183</v>
      </c>
      <c r="U149" s="3">
        <f>((S149-T149)/T149)</f>
        <v>-0.80624023805977385</v>
      </c>
    </row>
    <row r="150" spans="1:21" x14ac:dyDescent="0.3">
      <c r="A150" t="s">
        <v>41</v>
      </c>
      <c r="B150">
        <v>2021</v>
      </c>
      <c r="C150">
        <v>469822</v>
      </c>
      <c r="D150">
        <v>33364</v>
      </c>
      <c r="E150">
        <v>3.24</v>
      </c>
      <c r="F150">
        <v>46327</v>
      </c>
      <c r="G150">
        <v>-58154</v>
      </c>
      <c r="H150">
        <f t="shared" si="30"/>
        <v>58154</v>
      </c>
      <c r="I150">
        <f t="shared" si="31"/>
        <v>-11827</v>
      </c>
      <c r="J150" s="4">
        <v>-2.8327909499457617</v>
      </c>
      <c r="K150" s="1">
        <f>I150*(1+J149/100)</f>
        <v>-11617.22</v>
      </c>
      <c r="L150" s="1">
        <f t="shared" ref="L150:L161" si="37">1/(1+0.1)^(MAX($B$149:$B$162)-B150)</f>
        <v>0.90909090909090906</v>
      </c>
      <c r="M150" s="1">
        <f t="shared" si="32"/>
        <v>-10561.109090909091</v>
      </c>
      <c r="O150" t="str">
        <f t="shared" si="33"/>
        <v/>
      </c>
      <c r="R150" s="1">
        <f t="shared" si="34"/>
        <v>10297.53086419753</v>
      </c>
    </row>
    <row r="151" spans="1:21" x14ac:dyDescent="0.3">
      <c r="A151" t="s">
        <v>41</v>
      </c>
      <c r="B151">
        <v>2020</v>
      </c>
      <c r="C151">
        <v>386064</v>
      </c>
      <c r="D151">
        <v>21331</v>
      </c>
      <c r="E151">
        <v>2.09</v>
      </c>
      <c r="F151">
        <v>66064</v>
      </c>
      <c r="G151">
        <v>-59611</v>
      </c>
      <c r="H151">
        <f t="shared" si="30"/>
        <v>59611</v>
      </c>
      <c r="I151">
        <f t="shared" si="31"/>
        <v>6453</v>
      </c>
      <c r="J151" s="4">
        <v>-0.5466170167919624</v>
      </c>
      <c r="K151" s="1">
        <f t="shared" ref="K151:K162" si="38">I151*(1+J150/100)</f>
        <v>6270.2</v>
      </c>
      <c r="L151" s="1">
        <f t="shared" si="37"/>
        <v>0.82644628099173545</v>
      </c>
      <c r="M151" s="1">
        <f t="shared" si="32"/>
        <v>5181.9834710743798</v>
      </c>
      <c r="O151" t="str">
        <f t="shared" si="33"/>
        <v/>
      </c>
      <c r="R151" s="1">
        <f t="shared" si="34"/>
        <v>10206.220095693781</v>
      </c>
    </row>
    <row r="152" spans="1:21" x14ac:dyDescent="0.3">
      <c r="A152" t="s">
        <v>41</v>
      </c>
      <c r="B152">
        <v>2019</v>
      </c>
      <c r="C152">
        <v>280522</v>
      </c>
      <c r="D152">
        <v>11588</v>
      </c>
      <c r="E152">
        <v>1.1505000000000001</v>
      </c>
      <c r="F152">
        <v>38514</v>
      </c>
      <c r="G152">
        <v>-24281</v>
      </c>
      <c r="H152">
        <f t="shared" si="30"/>
        <v>24281</v>
      </c>
      <c r="I152">
        <f t="shared" si="31"/>
        <v>14233</v>
      </c>
      <c r="J152" s="4">
        <v>-0.22452871308706548</v>
      </c>
      <c r="K152" s="1">
        <f t="shared" si="38"/>
        <v>14155.2</v>
      </c>
      <c r="L152" s="1">
        <f t="shared" si="37"/>
        <v>0.75131480090157754</v>
      </c>
      <c r="M152" s="1">
        <f t="shared" si="32"/>
        <v>10635.01126972201</v>
      </c>
      <c r="O152" t="str">
        <f t="shared" si="33"/>
        <v/>
      </c>
      <c r="R152" s="1">
        <f t="shared" si="34"/>
        <v>10072.142546718816</v>
      </c>
    </row>
    <row r="153" spans="1:21" x14ac:dyDescent="0.3">
      <c r="A153" t="s">
        <v>41</v>
      </c>
      <c r="B153">
        <v>2018</v>
      </c>
      <c r="C153">
        <v>232887</v>
      </c>
      <c r="D153">
        <v>10073</v>
      </c>
      <c r="E153">
        <v>1.0069999999999999</v>
      </c>
      <c r="F153">
        <v>30723</v>
      </c>
      <c r="G153">
        <v>-12369</v>
      </c>
      <c r="H153">
        <f t="shared" si="30"/>
        <v>12369</v>
      </c>
      <c r="I153">
        <f t="shared" si="31"/>
        <v>18354</v>
      </c>
      <c r="J153" s="4">
        <v>-3.1050579194861796</v>
      </c>
      <c r="K153" s="1">
        <f t="shared" si="38"/>
        <v>18312.79</v>
      </c>
      <c r="L153" s="1">
        <f t="shared" si="37"/>
        <v>0.68301345536507052</v>
      </c>
      <c r="M153" s="1">
        <f t="shared" si="32"/>
        <v>12507.88197527491</v>
      </c>
      <c r="O153" t="str">
        <f t="shared" si="33"/>
        <v/>
      </c>
      <c r="R153" s="1">
        <f t="shared" si="34"/>
        <v>10002.979145978154</v>
      </c>
    </row>
    <row r="154" spans="1:21" x14ac:dyDescent="0.3">
      <c r="A154" t="s">
        <v>41</v>
      </c>
      <c r="B154">
        <v>2017</v>
      </c>
      <c r="C154">
        <v>177866</v>
      </c>
      <c r="D154">
        <v>3033</v>
      </c>
      <c r="E154">
        <v>0.3075</v>
      </c>
      <c r="F154">
        <v>18365</v>
      </c>
      <c r="G154">
        <v>-27084</v>
      </c>
      <c r="H154">
        <f t="shared" si="30"/>
        <v>27084</v>
      </c>
      <c r="I154">
        <f t="shared" si="31"/>
        <v>-8719</v>
      </c>
      <c r="J154" s="4">
        <v>-2.1342526343176793</v>
      </c>
      <c r="K154" s="1">
        <f t="shared" si="38"/>
        <v>-8448.27</v>
      </c>
      <c r="L154" s="1">
        <f t="shared" si="37"/>
        <v>0.62092132305915493</v>
      </c>
      <c r="M154" s="1">
        <f t="shared" si="32"/>
        <v>-5245.7109859609673</v>
      </c>
      <c r="O154" t="str">
        <f t="shared" si="33"/>
        <v/>
      </c>
      <c r="R154" s="1">
        <f t="shared" si="34"/>
        <v>9863.414634146342</v>
      </c>
    </row>
    <row r="155" spans="1:21" x14ac:dyDescent="0.3">
      <c r="A155" t="s">
        <v>41</v>
      </c>
      <c r="B155">
        <v>2016</v>
      </c>
      <c r="C155">
        <v>135987</v>
      </c>
      <c r="D155">
        <v>2371</v>
      </c>
      <c r="E155">
        <v>0.245</v>
      </c>
      <c r="F155">
        <v>17203</v>
      </c>
      <c r="G155">
        <v>-9516</v>
      </c>
      <c r="H155">
        <f t="shared" si="30"/>
        <v>9516</v>
      </c>
      <c r="I155">
        <f t="shared" si="31"/>
        <v>7687</v>
      </c>
      <c r="J155" s="4">
        <v>0.37538021112900338</v>
      </c>
      <c r="K155" s="1">
        <f t="shared" si="38"/>
        <v>7522.94</v>
      </c>
      <c r="L155" s="1">
        <f t="shared" si="37"/>
        <v>0.56447393005377722</v>
      </c>
      <c r="M155" s="1">
        <f t="shared" si="32"/>
        <v>4246.5035073587624</v>
      </c>
      <c r="O155" t="str">
        <f t="shared" si="33"/>
        <v/>
      </c>
      <c r="R155" s="1">
        <f t="shared" si="34"/>
        <v>9677.5510204081638</v>
      </c>
    </row>
    <row r="156" spans="1:21" x14ac:dyDescent="0.3">
      <c r="A156" t="s">
        <v>41</v>
      </c>
      <c r="B156">
        <v>2015</v>
      </c>
      <c r="C156">
        <v>107006</v>
      </c>
      <c r="D156">
        <v>596</v>
      </c>
      <c r="E156">
        <v>6.25E-2</v>
      </c>
      <c r="F156">
        <v>12039</v>
      </c>
      <c r="G156">
        <v>-6450</v>
      </c>
      <c r="H156">
        <f t="shared" si="30"/>
        <v>6450</v>
      </c>
      <c r="I156">
        <f t="shared" si="31"/>
        <v>5589</v>
      </c>
      <c r="J156" s="4">
        <v>2.14518851997749</v>
      </c>
      <c r="K156" s="1">
        <f t="shared" si="38"/>
        <v>5609.98</v>
      </c>
      <c r="L156" s="1">
        <f t="shared" si="37"/>
        <v>0.51315811823070645</v>
      </c>
      <c r="M156" s="1">
        <f t="shared" si="32"/>
        <v>2878.8067801118982</v>
      </c>
      <c r="O156" t="str">
        <f t="shared" si="33"/>
        <v/>
      </c>
      <c r="R156" s="1">
        <f t="shared" si="34"/>
        <v>9536</v>
      </c>
    </row>
    <row r="157" spans="1:21" x14ac:dyDescent="0.3">
      <c r="A157" t="s">
        <v>41</v>
      </c>
      <c r="B157">
        <v>2014</v>
      </c>
      <c r="C157">
        <v>88988</v>
      </c>
      <c r="D157">
        <v>-241</v>
      </c>
      <c r="E157">
        <v>-2.5999999999999999E-2</v>
      </c>
      <c r="F157">
        <v>6842</v>
      </c>
      <c r="G157">
        <v>-5065</v>
      </c>
      <c r="H157">
        <f t="shared" si="30"/>
        <v>5065</v>
      </c>
      <c r="I157">
        <f t="shared" si="31"/>
        <v>1777</v>
      </c>
      <c r="J157" s="4">
        <v>0.48206839032527105</v>
      </c>
      <c r="K157" s="1">
        <f t="shared" si="38"/>
        <v>1815.1200000000001</v>
      </c>
      <c r="L157" s="1">
        <f t="shared" si="37"/>
        <v>0.46650738020973315</v>
      </c>
      <c r="M157" s="1">
        <f t="shared" si="32"/>
        <v>846.76687596629085</v>
      </c>
      <c r="O157" t="str">
        <f t="shared" si="33"/>
        <v/>
      </c>
      <c r="R157" s="1">
        <f t="shared" si="34"/>
        <v>9269.2307692307695</v>
      </c>
    </row>
    <row r="158" spans="1:21" x14ac:dyDescent="0.3">
      <c r="A158" t="s">
        <v>41</v>
      </c>
      <c r="B158">
        <v>2013</v>
      </c>
      <c r="C158">
        <v>74452</v>
      </c>
      <c r="D158">
        <v>274</v>
      </c>
      <c r="E158">
        <v>2.9499999999999998E-2</v>
      </c>
      <c r="F158">
        <v>5475</v>
      </c>
      <c r="G158">
        <v>-4276</v>
      </c>
      <c r="H158">
        <f t="shared" si="30"/>
        <v>4276</v>
      </c>
      <c r="I158">
        <f t="shared" si="31"/>
        <v>1199</v>
      </c>
      <c r="J158" s="4">
        <v>1.0495726495726496</v>
      </c>
      <c r="K158" s="1">
        <f t="shared" si="38"/>
        <v>1204.78</v>
      </c>
      <c r="L158" s="1">
        <f t="shared" si="37"/>
        <v>0.42409761837248466</v>
      </c>
      <c r="M158" s="1">
        <f t="shared" si="32"/>
        <v>510.94432866280204</v>
      </c>
      <c r="O158" t="str">
        <f t="shared" si="33"/>
        <v/>
      </c>
      <c r="R158" s="1">
        <f t="shared" si="34"/>
        <v>9288.1355932203387</v>
      </c>
    </row>
    <row r="159" spans="1:21" x14ac:dyDescent="0.3">
      <c r="A159" t="s">
        <v>41</v>
      </c>
      <c r="B159">
        <v>2012</v>
      </c>
      <c r="C159">
        <v>61093</v>
      </c>
      <c r="D159">
        <v>-39</v>
      </c>
      <c r="E159">
        <v>-4.4999999999999997E-3</v>
      </c>
      <c r="F159">
        <v>4180</v>
      </c>
      <c r="G159">
        <v>-3595</v>
      </c>
      <c r="H159">
        <f t="shared" si="30"/>
        <v>3595</v>
      </c>
      <c r="I159">
        <f t="shared" si="31"/>
        <v>585</v>
      </c>
      <c r="J159" s="4">
        <v>-0.70349721236695384</v>
      </c>
      <c r="K159" s="1">
        <f t="shared" si="38"/>
        <v>591.14</v>
      </c>
      <c r="L159" s="1">
        <f t="shared" si="37"/>
        <v>0.38554328942953148</v>
      </c>
      <c r="M159" s="1">
        <f t="shared" si="32"/>
        <v>227.91006011337322</v>
      </c>
      <c r="O159" t="str">
        <f t="shared" si="33"/>
        <v/>
      </c>
      <c r="R159" s="1">
        <f t="shared" si="34"/>
        <v>8666.6666666666679</v>
      </c>
    </row>
    <row r="160" spans="1:21" x14ac:dyDescent="0.3">
      <c r="A160" t="s">
        <v>41</v>
      </c>
      <c r="B160">
        <v>2011</v>
      </c>
      <c r="C160">
        <v>48077</v>
      </c>
      <c r="D160">
        <v>631</v>
      </c>
      <c r="E160">
        <v>6.8500000000000005E-2</v>
      </c>
      <c r="F160">
        <v>3903</v>
      </c>
      <c r="G160">
        <v>-1930</v>
      </c>
      <c r="H160">
        <f t="shared" si="30"/>
        <v>1930</v>
      </c>
      <c r="I160">
        <f t="shared" si="31"/>
        <v>1973</v>
      </c>
      <c r="J160" s="4">
        <v>13.614814814814816</v>
      </c>
      <c r="K160" s="1">
        <f t="shared" si="38"/>
        <v>1959.12</v>
      </c>
      <c r="L160" s="1">
        <f t="shared" si="37"/>
        <v>0.3504938994813922</v>
      </c>
      <c r="M160" s="1">
        <f t="shared" si="32"/>
        <v>686.65960835198507</v>
      </c>
      <c r="O160" t="str">
        <f t="shared" si="33"/>
        <v/>
      </c>
      <c r="R160" s="1">
        <f t="shared" si="34"/>
        <v>9211.6788321167878</v>
      </c>
    </row>
    <row r="161" spans="1:18" x14ac:dyDescent="0.3">
      <c r="A161" t="s">
        <v>41</v>
      </c>
      <c r="B161">
        <v>2010</v>
      </c>
      <c r="C161">
        <v>34204</v>
      </c>
      <c r="D161">
        <v>1152</v>
      </c>
      <c r="E161">
        <v>0.1265</v>
      </c>
      <c r="F161">
        <v>3495</v>
      </c>
      <c r="G161">
        <v>-3360</v>
      </c>
      <c r="H161">
        <f t="shared" si="30"/>
        <v>3360</v>
      </c>
      <c r="I161">
        <f t="shared" si="31"/>
        <v>135</v>
      </c>
      <c r="J161" s="4">
        <v>-0.85878661087866104</v>
      </c>
      <c r="K161" s="1">
        <f t="shared" si="38"/>
        <v>153.38</v>
      </c>
      <c r="L161" s="1">
        <f t="shared" si="37"/>
        <v>0.31863081771035656</v>
      </c>
      <c r="M161" s="1">
        <f t="shared" si="32"/>
        <v>48.871594820414487</v>
      </c>
      <c r="O161" t="str">
        <f t="shared" si="33"/>
        <v/>
      </c>
      <c r="R161" s="1">
        <f t="shared" si="34"/>
        <v>9106.7193675889321</v>
      </c>
    </row>
    <row r="162" spans="1:18" x14ac:dyDescent="0.3">
      <c r="A162" t="s">
        <v>41</v>
      </c>
      <c r="B162">
        <v>2009</v>
      </c>
      <c r="C162">
        <v>24509</v>
      </c>
      <c r="D162">
        <v>902</v>
      </c>
      <c r="E162">
        <v>0.10199999999999999</v>
      </c>
      <c r="F162">
        <v>3293</v>
      </c>
      <c r="G162">
        <v>-2337</v>
      </c>
      <c r="H162">
        <f t="shared" si="30"/>
        <v>2337</v>
      </c>
      <c r="I162">
        <f t="shared" si="31"/>
        <v>956</v>
      </c>
      <c r="J162" s="4" t="s">
        <v>46</v>
      </c>
      <c r="K162" s="1">
        <f t="shared" si="38"/>
        <v>947.79</v>
      </c>
      <c r="L162" s="1">
        <f>1/(1+0.1)^(MAX($B$149:$B$162)-B162)</f>
        <v>0.28966437973668779</v>
      </c>
      <c r="M162" s="1">
        <f t="shared" si="32"/>
        <v>274.54100247063531</v>
      </c>
      <c r="O162" t="str">
        <f t="shared" si="33"/>
        <v/>
      </c>
      <c r="R162" s="1">
        <f t="shared" si="34"/>
        <v>8843.1372549019616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795C3-780C-45FF-969A-A816692FA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Statements</vt:lpstr>
      <vt:lpstr>Ratio Analysis </vt:lpstr>
      <vt:lpstr>FCF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Bhambri</dc:creator>
  <cp:lastModifiedBy>Pratik Bhambri</cp:lastModifiedBy>
  <dcterms:created xsi:type="dcterms:W3CDTF">2025-10-25T15:47:48Z</dcterms:created>
  <dcterms:modified xsi:type="dcterms:W3CDTF">2025-12-16T17:22:01Z</dcterms:modified>
</cp:coreProperties>
</file>